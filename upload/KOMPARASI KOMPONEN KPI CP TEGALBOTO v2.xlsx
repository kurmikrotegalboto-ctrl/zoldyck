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2a339dafd796b4/Desktop/KPI TEGALBOTO/"/>
    </mc:Choice>
  </mc:AlternateContent>
  <xr:revisionPtr revIDLastSave="7" documentId="8_{245CA8CC-C876-254E-B55B-66F8F8D6C1A3}" xr6:coauthVersionLast="47" xr6:coauthVersionMax="47" xr10:uidLastSave="{7D041207-8E38-46AF-9DAD-C31E395B8F4C}"/>
  <bookViews>
    <workbookView xWindow="-120" yWindow="-120" windowWidth="29040" windowHeight="15720" xr2:uid="{03C51708-DF73-47C6-914D-74E8D146F623}"/>
  </bookViews>
  <sheets>
    <sheet name="MONITORING KPI KANWIL SURABAYA 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4" i="1" l="1"/>
  <c r="H145" i="1"/>
  <c r="H116" i="1"/>
  <c r="H87" i="1"/>
  <c r="H58" i="1"/>
  <c r="H29" i="1"/>
</calcChain>
</file>

<file path=xl/sharedStrings.xml><?xml version="1.0" encoding="utf-8"?>
<sst xmlns="http://schemas.openxmlformats.org/spreadsheetml/2006/main" count="564" uniqueCount="56">
  <si>
    <t>NAMA UNIT</t>
  </si>
  <si>
    <t>KOMPONEN KPI</t>
  </si>
  <si>
    <t>BOBOT</t>
  </si>
  <si>
    <t>SATUAN</t>
  </si>
  <si>
    <t>TARGET TAHUNAN</t>
  </si>
  <si>
    <t>REALISASI</t>
  </si>
  <si>
    <t>ACH TAHUNAN</t>
  </si>
  <si>
    <t>KPI HARI INI</t>
  </si>
  <si>
    <t>14200:CP TEGALBOTO</t>
  </si>
  <si>
    <t>OSL GROSS POSISI</t>
  </si>
  <si>
    <t>Rp</t>
  </si>
  <si>
    <t>null</t>
  </si>
  <si>
    <t>OSL AKTIF RATA-RATA GADAI</t>
  </si>
  <si>
    <t>14204:UPC KALISAT</t>
  </si>
  <si>
    <t>14201:UPC BASUKI RAHMAT</t>
  </si>
  <si>
    <t>12.5</t>
  </si>
  <si>
    <t>14202:UPC S PARMAN</t>
  </si>
  <si>
    <t>OSL AKTIF RATA-RATA NON GADAI</t>
  </si>
  <si>
    <t>14205:UPC MAYANG</t>
  </si>
  <si>
    <t>OSL AKTIF RATA-RATA EMAS</t>
  </si>
  <si>
    <t>7.5</t>
  </si>
  <si>
    <t>KPI STRETCH GOAL</t>
  </si>
  <si>
    <t>LABA USAHA</t>
  </si>
  <si>
    <t>17506:BRI UNIT SUMBERJATI</t>
  </si>
  <si>
    <t>OSL LAYANAN TRING!</t>
  </si>
  <si>
    <t>OSL SINERGI HOLDING</t>
  </si>
  <si>
    <t>1.5</t>
  </si>
  <si>
    <t>FREKUENSI TRANSAKSI TRING!</t>
  </si>
  <si>
    <t>Jumlah</t>
  </si>
  <si>
    <t>TABUNGAN EMAS</t>
  </si>
  <si>
    <t>2.5</t>
  </si>
  <si>
    <t>Gramasi</t>
  </si>
  <si>
    <t>NASABAH PEMBIAYAAN TAHUNAN</t>
  </si>
  <si>
    <t>NASABAH TRING!</t>
  </si>
  <si>
    <t>DEPOSITO EMAS</t>
  </si>
  <si>
    <t>GRAMASI PRODUK GALERI 24</t>
  </si>
  <si>
    <t>TE SINERGI HOLDING</t>
  </si>
  <si>
    <t>NASABAH BARU</t>
  </si>
  <si>
    <t>NASABAH TABUNGAN EMAS</t>
  </si>
  <si>
    <t>NASABAH BARU AGEN</t>
  </si>
  <si>
    <t>CASHLESS DISBURSEMENT</t>
  </si>
  <si>
    <t>%</t>
  </si>
  <si>
    <t>LAR NON GADAI</t>
  </si>
  <si>
    <t>NPL NON GADAI</t>
  </si>
  <si>
    <t>LAR EMAS</t>
  </si>
  <si>
    <t>3.5</t>
  </si>
  <si>
    <t>LAR GADAI</t>
  </si>
  <si>
    <t>NPL EMAS</t>
  </si>
  <si>
    <t>NPL GADAI</t>
  </si>
  <si>
    <t>1,530,15%</t>
  </si>
  <si>
    <t>UPC BASUKI RAHMAT</t>
  </si>
  <si>
    <t>UPC S PARMAN</t>
  </si>
  <si>
    <t>UPC KALISAT</t>
  </si>
  <si>
    <t>UPC MAYANG</t>
  </si>
  <si>
    <t>BRI UNIT SUMBERJATI</t>
  </si>
  <si>
    <t>UPC TEGALBOTO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</si>
</sst>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34" borderId="0" xfId="0" applyFill="1"/>
    <xf numFmtId="0" fontId="16" fillId="33" borderId="10" xfId="0" applyFont="1" applyFill="1" applyBorder="1"/>
    <xf numFmtId="0" fontId="16" fillId="33" borderId="11" xfId="0" applyFont="1" applyFill="1" applyBorder="1"/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0" fillId="0" borderId="13" xfId="0" applyBorder="1"/>
    <xf numFmtId="164" fontId="0" fillId="0" borderId="0" xfId="1" applyNumberFormat="1" applyFont="1" applyBorder="1"/>
    <xf numFmtId="10" fontId="0" fillId="0" borderId="0" xfId="0" applyNumberForma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0" fontId="16" fillId="35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0662-1272-4F16-8AB6-A67BA64D8615}">
  <dimension ref="A2:H174"/>
  <sheetViews>
    <sheetView tabSelected="1" zoomScale="70" zoomScaleNormal="70" workbookViewId="0">
      <selection activeCell="O9" sqref="O9"/>
    </sheetView>
  </sheetViews>
  <sheetFormatPr defaultRowHeight="15" x14ac:dyDescent="0.25"/>
  <cols>
    <col min="1" max="1" width="24.7109375" bestFit="1" customWidth="1"/>
    <col min="2" max="2" width="29.85546875" bestFit="1" customWidth="1"/>
    <col min="3" max="3" width="10.140625" style="1" bestFit="1" customWidth="1"/>
    <col min="4" max="4" width="11.42578125" style="1" bestFit="1" customWidth="1"/>
    <col min="5" max="5" width="23.42578125" bestFit="1" customWidth="1"/>
    <col min="6" max="6" width="18.85546875" bestFit="1" customWidth="1"/>
    <col min="7" max="7" width="18.7109375" style="1" bestFit="1" customWidth="1"/>
    <col min="8" max="8" width="15.28515625" style="1" bestFit="1" customWidth="1"/>
  </cols>
  <sheetData>
    <row r="2" spans="1:8" s="2" customFormat="1" x14ac:dyDescent="0.25">
      <c r="A2" s="19" t="s">
        <v>55</v>
      </c>
      <c r="B2" s="19"/>
      <c r="C2" s="19"/>
      <c r="D2" s="19"/>
      <c r="E2" s="19"/>
      <c r="F2" s="19"/>
      <c r="G2" s="19"/>
      <c r="H2" s="19"/>
    </row>
    <row r="3" spans="1:8" s="2" customFormat="1" x14ac:dyDescent="0.25">
      <c r="A3" s="3" t="s">
        <v>0</v>
      </c>
      <c r="B3" s="4" t="s">
        <v>1</v>
      </c>
      <c r="C3" s="5" t="s">
        <v>2</v>
      </c>
      <c r="D3" s="5" t="s">
        <v>3</v>
      </c>
      <c r="E3" s="4" t="s">
        <v>4</v>
      </c>
      <c r="F3" s="4" t="s">
        <v>5</v>
      </c>
      <c r="G3" s="5" t="s">
        <v>6</v>
      </c>
      <c r="H3" s="6" t="s">
        <v>7</v>
      </c>
    </row>
    <row r="4" spans="1:8" x14ac:dyDescent="0.25">
      <c r="A4" s="7" t="s">
        <v>8</v>
      </c>
      <c r="B4" t="s">
        <v>9</v>
      </c>
      <c r="C4" s="1">
        <v>5</v>
      </c>
      <c r="D4" s="1" t="s">
        <v>10</v>
      </c>
      <c r="E4" s="8">
        <v>65834609329</v>
      </c>
      <c r="F4" s="8">
        <v>76118721850</v>
      </c>
      <c r="G4" s="9">
        <v>1.1561999999999999</v>
      </c>
      <c r="H4" s="10">
        <v>5.5</v>
      </c>
    </row>
    <row r="5" spans="1:8" x14ac:dyDescent="0.25">
      <c r="A5" s="7" t="s">
        <v>8</v>
      </c>
      <c r="B5" t="s">
        <v>12</v>
      </c>
      <c r="C5" s="1">
        <v>10</v>
      </c>
      <c r="D5" s="1" t="s">
        <v>10</v>
      </c>
      <c r="E5" s="8">
        <v>42622811780</v>
      </c>
      <c r="F5" s="8">
        <v>49788092573</v>
      </c>
      <c r="G5" s="9">
        <v>1.1680999999999999</v>
      </c>
      <c r="H5" s="10">
        <v>11.68</v>
      </c>
    </row>
    <row r="6" spans="1:8" x14ac:dyDescent="0.25">
      <c r="A6" s="7" t="s">
        <v>8</v>
      </c>
      <c r="B6" t="s">
        <v>17</v>
      </c>
      <c r="C6" s="1">
        <v>5</v>
      </c>
      <c r="D6" s="1" t="s">
        <v>10</v>
      </c>
      <c r="E6" s="8">
        <v>11839554017</v>
      </c>
      <c r="F6" s="8">
        <v>11091169199</v>
      </c>
      <c r="G6" s="9">
        <v>0.93679999999999997</v>
      </c>
      <c r="H6" s="10">
        <v>4.68</v>
      </c>
    </row>
    <row r="7" spans="1:8" x14ac:dyDescent="0.25">
      <c r="A7" s="7" t="s">
        <v>8</v>
      </c>
      <c r="B7" t="s">
        <v>19</v>
      </c>
      <c r="C7" s="1" t="s">
        <v>20</v>
      </c>
      <c r="D7" s="1" t="s">
        <v>10</v>
      </c>
      <c r="E7" s="8">
        <v>8633448014</v>
      </c>
      <c r="F7" s="8">
        <v>11278046318</v>
      </c>
      <c r="G7" s="9">
        <v>1.3063</v>
      </c>
      <c r="H7" s="10">
        <v>9.8000000000000007</v>
      </c>
    </row>
    <row r="8" spans="1:8" x14ac:dyDescent="0.25">
      <c r="A8" s="7" t="s">
        <v>8</v>
      </c>
      <c r="B8" t="s">
        <v>21</v>
      </c>
      <c r="C8" s="1">
        <v>0</v>
      </c>
      <c r="D8" s="1" t="s">
        <v>10</v>
      </c>
      <c r="E8" s="8">
        <v>8547261445</v>
      </c>
      <c r="F8" s="8">
        <v>10100296890</v>
      </c>
      <c r="G8" s="9">
        <v>1.1817</v>
      </c>
      <c r="H8" s="10">
        <v>0</v>
      </c>
    </row>
    <row r="9" spans="1:8" x14ac:dyDescent="0.25">
      <c r="A9" s="7" t="s">
        <v>8</v>
      </c>
      <c r="B9" t="s">
        <v>22</v>
      </c>
      <c r="C9" s="1">
        <v>10</v>
      </c>
      <c r="D9" s="1" t="s">
        <v>10</v>
      </c>
      <c r="E9" s="8">
        <v>8257115195</v>
      </c>
      <c r="F9" s="8">
        <v>3600706536</v>
      </c>
      <c r="G9" s="9">
        <v>0.43609999999999999</v>
      </c>
      <c r="H9" s="10">
        <v>4.3600000000000003</v>
      </c>
    </row>
    <row r="10" spans="1:8" x14ac:dyDescent="0.25">
      <c r="A10" s="7" t="s">
        <v>8</v>
      </c>
      <c r="B10" t="s">
        <v>24</v>
      </c>
      <c r="C10" s="1">
        <v>5</v>
      </c>
      <c r="D10" s="1" t="s">
        <v>10</v>
      </c>
      <c r="E10" s="8">
        <v>2104011861</v>
      </c>
      <c r="F10" s="8">
        <v>2893628565</v>
      </c>
      <c r="G10" s="9">
        <v>1.3753</v>
      </c>
      <c r="H10" s="10">
        <v>5.5</v>
      </c>
    </row>
    <row r="11" spans="1:8" x14ac:dyDescent="0.25">
      <c r="A11" s="7" t="s">
        <v>8</v>
      </c>
      <c r="B11" t="s">
        <v>25</v>
      </c>
      <c r="C11" s="1" t="s">
        <v>26</v>
      </c>
      <c r="D11" s="1" t="s">
        <v>10</v>
      </c>
      <c r="E11" s="8">
        <v>89612005</v>
      </c>
      <c r="F11" s="8">
        <v>272540847</v>
      </c>
      <c r="G11" s="9">
        <v>3.0413000000000001</v>
      </c>
      <c r="H11" s="10">
        <v>1.65</v>
      </c>
    </row>
    <row r="12" spans="1:8" x14ac:dyDescent="0.25">
      <c r="A12" s="7" t="s">
        <v>8</v>
      </c>
      <c r="B12" t="s">
        <v>27</v>
      </c>
      <c r="C12" s="1">
        <v>5</v>
      </c>
      <c r="D12" s="1" t="s">
        <v>28</v>
      </c>
      <c r="E12" s="11">
        <v>38112</v>
      </c>
      <c r="F12" s="11">
        <v>17159</v>
      </c>
      <c r="G12" s="9">
        <v>0.45019999999999999</v>
      </c>
      <c r="H12" s="10">
        <v>2.25</v>
      </c>
    </row>
    <row r="13" spans="1:8" x14ac:dyDescent="0.25">
      <c r="A13" s="7" t="s">
        <v>8</v>
      </c>
      <c r="B13" t="s">
        <v>29</v>
      </c>
      <c r="C13" s="1" t="s">
        <v>30</v>
      </c>
      <c r="D13" s="1" t="s">
        <v>31</v>
      </c>
      <c r="E13" s="11">
        <v>18322</v>
      </c>
      <c r="F13" s="11">
        <v>18342</v>
      </c>
      <c r="G13" s="9">
        <v>1.0011000000000001</v>
      </c>
      <c r="H13" s="10">
        <v>2.5</v>
      </c>
    </row>
    <row r="14" spans="1:8" x14ac:dyDescent="0.25">
      <c r="A14" s="7" t="s">
        <v>8</v>
      </c>
      <c r="B14" t="s">
        <v>32</v>
      </c>
      <c r="C14" s="1">
        <v>5</v>
      </c>
      <c r="D14" s="1" t="s">
        <v>28</v>
      </c>
      <c r="E14" s="11">
        <v>8494</v>
      </c>
      <c r="F14" s="11">
        <v>6165</v>
      </c>
      <c r="G14" s="9">
        <v>0.7258</v>
      </c>
      <c r="H14" s="10">
        <v>3.63</v>
      </c>
    </row>
    <row r="15" spans="1:8" x14ac:dyDescent="0.25">
      <c r="A15" s="7" t="s">
        <v>8</v>
      </c>
      <c r="B15" t="s">
        <v>33</v>
      </c>
      <c r="C15" s="1">
        <v>5</v>
      </c>
      <c r="D15" s="1" t="s">
        <v>28</v>
      </c>
      <c r="E15" s="11">
        <v>4406</v>
      </c>
      <c r="F15" s="11">
        <v>3671</v>
      </c>
      <c r="G15" s="9">
        <v>0.83330000000000004</v>
      </c>
      <c r="H15" s="10">
        <v>4.17</v>
      </c>
    </row>
    <row r="16" spans="1:8" x14ac:dyDescent="0.25">
      <c r="A16" s="7" t="s">
        <v>8</v>
      </c>
      <c r="B16" t="s">
        <v>34</v>
      </c>
      <c r="C16" s="1" t="s">
        <v>30</v>
      </c>
      <c r="D16" s="1" t="s">
        <v>31</v>
      </c>
      <c r="E16" s="11">
        <v>4328</v>
      </c>
      <c r="F16" s="11">
        <v>273</v>
      </c>
      <c r="G16" s="9">
        <v>0.63080000000000003</v>
      </c>
      <c r="H16" s="10">
        <v>1.58</v>
      </c>
    </row>
    <row r="17" spans="1:8" x14ac:dyDescent="0.25">
      <c r="A17" s="7" t="s">
        <v>8</v>
      </c>
      <c r="B17" t="s">
        <v>35</v>
      </c>
      <c r="C17" s="1">
        <v>5</v>
      </c>
      <c r="D17" s="1" t="s">
        <v>31</v>
      </c>
      <c r="E17" s="11">
        <v>4232</v>
      </c>
      <c r="F17" s="11">
        <v>344</v>
      </c>
      <c r="G17" s="9">
        <v>0.81289999999999996</v>
      </c>
      <c r="H17" s="10">
        <v>4.0599999999999996</v>
      </c>
    </row>
    <row r="18" spans="1:8" x14ac:dyDescent="0.25">
      <c r="A18" s="7" t="s">
        <v>8</v>
      </c>
      <c r="B18" t="s">
        <v>36</v>
      </c>
      <c r="C18" s="1" t="s">
        <v>26</v>
      </c>
      <c r="D18" s="1" t="s">
        <v>31</v>
      </c>
      <c r="E18" s="11">
        <v>2497</v>
      </c>
      <c r="F18" s="11">
        <v>1383</v>
      </c>
      <c r="G18" s="9">
        <v>0.55400000000000005</v>
      </c>
      <c r="H18" s="10">
        <v>0.83</v>
      </c>
    </row>
    <row r="19" spans="1:8" x14ac:dyDescent="0.25">
      <c r="A19" s="7" t="s">
        <v>8</v>
      </c>
      <c r="B19" t="s">
        <v>37</v>
      </c>
      <c r="C19" s="1">
        <v>5</v>
      </c>
      <c r="D19" s="1" t="s">
        <v>28</v>
      </c>
      <c r="E19" s="11">
        <v>2255</v>
      </c>
      <c r="F19" s="11">
        <v>217</v>
      </c>
      <c r="G19" s="9">
        <v>0.96209999999999996</v>
      </c>
      <c r="H19" s="10">
        <v>4.8099999999999996</v>
      </c>
    </row>
    <row r="20" spans="1:8" x14ac:dyDescent="0.25">
      <c r="A20" s="7" t="s">
        <v>8</v>
      </c>
      <c r="B20" t="s">
        <v>38</v>
      </c>
      <c r="C20" s="1">
        <v>5</v>
      </c>
      <c r="D20" s="1" t="s">
        <v>28</v>
      </c>
      <c r="E20" s="11">
        <v>1861</v>
      </c>
      <c r="F20" s="11">
        <v>1746</v>
      </c>
      <c r="G20" s="9">
        <v>0.93810000000000004</v>
      </c>
      <c r="H20" s="10">
        <v>4.6900000000000004</v>
      </c>
    </row>
    <row r="21" spans="1:8" x14ac:dyDescent="0.25">
      <c r="A21" s="7" t="s">
        <v>8</v>
      </c>
      <c r="B21" t="s">
        <v>40</v>
      </c>
      <c r="C21" s="1">
        <v>2</v>
      </c>
      <c r="D21" s="1" t="s">
        <v>41</v>
      </c>
      <c r="E21" s="1">
        <v>78.760000000000005</v>
      </c>
      <c r="F21" s="1">
        <v>72.27</v>
      </c>
      <c r="G21" s="9">
        <v>0.91759999999999997</v>
      </c>
      <c r="H21" s="10">
        <v>1.84</v>
      </c>
    </row>
    <row r="22" spans="1:8" x14ac:dyDescent="0.25">
      <c r="A22" s="7" t="s">
        <v>8</v>
      </c>
      <c r="B22" t="s">
        <v>39</v>
      </c>
      <c r="C22" s="1" t="s">
        <v>30</v>
      </c>
      <c r="D22" s="1" t="s">
        <v>28</v>
      </c>
      <c r="E22" s="1">
        <v>62</v>
      </c>
      <c r="F22" s="1">
        <v>69</v>
      </c>
      <c r="G22" s="9">
        <v>1.1133999999999999</v>
      </c>
      <c r="H22" s="10">
        <v>2.75</v>
      </c>
    </row>
    <row r="23" spans="1:8" x14ac:dyDescent="0.25">
      <c r="A23" s="7" t="s">
        <v>8</v>
      </c>
      <c r="B23" t="s">
        <v>42</v>
      </c>
      <c r="C23" s="1">
        <v>2</v>
      </c>
      <c r="D23" s="1" t="s">
        <v>41</v>
      </c>
      <c r="E23" s="1">
        <v>12.21</v>
      </c>
      <c r="F23" s="1">
        <v>12.45</v>
      </c>
      <c r="G23" s="9">
        <v>0.98040000000000005</v>
      </c>
      <c r="H23" s="10">
        <v>1.96</v>
      </c>
    </row>
    <row r="24" spans="1:8" x14ac:dyDescent="0.25">
      <c r="A24" s="7" t="s">
        <v>8</v>
      </c>
      <c r="B24" t="s">
        <v>44</v>
      </c>
      <c r="C24" s="1" t="s">
        <v>30</v>
      </c>
      <c r="D24" s="1" t="s">
        <v>41</v>
      </c>
      <c r="E24" s="1">
        <v>11.04</v>
      </c>
      <c r="F24" s="1">
        <v>3.94</v>
      </c>
      <c r="G24" s="9">
        <v>2.8031999999999999</v>
      </c>
      <c r="H24" s="10">
        <v>2.75</v>
      </c>
    </row>
    <row r="25" spans="1:8" x14ac:dyDescent="0.25">
      <c r="A25" s="7" t="s">
        <v>8</v>
      </c>
      <c r="B25" t="s">
        <v>46</v>
      </c>
      <c r="C25" s="1">
        <v>3</v>
      </c>
      <c r="D25" s="1" t="s">
        <v>41</v>
      </c>
      <c r="E25" s="1">
        <v>2.75</v>
      </c>
      <c r="F25" s="1">
        <v>3.32</v>
      </c>
      <c r="G25" s="9">
        <v>0.8296</v>
      </c>
      <c r="H25" s="10">
        <v>2.4900000000000002</v>
      </c>
    </row>
    <row r="26" spans="1:8" x14ac:dyDescent="0.25">
      <c r="A26" s="7" t="s">
        <v>8</v>
      </c>
      <c r="B26" t="s">
        <v>43</v>
      </c>
      <c r="C26" s="1">
        <v>2</v>
      </c>
      <c r="D26" s="1" t="s">
        <v>41</v>
      </c>
      <c r="E26" s="1">
        <v>1.95</v>
      </c>
      <c r="F26" s="1">
        <v>1.99</v>
      </c>
      <c r="G26" s="9">
        <v>0.98070000000000002</v>
      </c>
      <c r="H26" s="10">
        <v>1.96</v>
      </c>
    </row>
    <row r="27" spans="1:8" x14ac:dyDescent="0.25">
      <c r="A27" s="7" t="s">
        <v>8</v>
      </c>
      <c r="B27" t="s">
        <v>47</v>
      </c>
      <c r="C27" s="1" t="s">
        <v>30</v>
      </c>
      <c r="D27" s="1" t="s">
        <v>41</v>
      </c>
      <c r="E27" s="1">
        <v>0.87</v>
      </c>
      <c r="F27" s="1" t="s">
        <v>11</v>
      </c>
      <c r="G27" s="12">
        <v>1.1000000000000001</v>
      </c>
      <c r="H27" s="10">
        <v>2.75</v>
      </c>
    </row>
    <row r="28" spans="1:8" x14ac:dyDescent="0.25">
      <c r="A28" s="7" t="s">
        <v>8</v>
      </c>
      <c r="B28" t="s">
        <v>48</v>
      </c>
      <c r="C28" s="1">
        <v>3</v>
      </c>
      <c r="D28" s="1" t="s">
        <v>41</v>
      </c>
      <c r="E28" s="1">
        <v>0.31</v>
      </c>
      <c r="F28" s="1">
        <v>0.24</v>
      </c>
      <c r="G28" s="9">
        <v>1.2750999999999999</v>
      </c>
      <c r="H28" s="10">
        <v>3.3</v>
      </c>
    </row>
    <row r="29" spans="1:8" x14ac:dyDescent="0.25">
      <c r="A29" s="13"/>
      <c r="B29" s="14"/>
      <c r="C29" s="15"/>
      <c r="D29" s="15"/>
      <c r="E29" s="15"/>
      <c r="F29" s="15"/>
      <c r="G29" s="18"/>
      <c r="H29" s="16">
        <f>SUM(H4:H28)</f>
        <v>91.489999999999981</v>
      </c>
    </row>
    <row r="30" spans="1:8" x14ac:dyDescent="0.25">
      <c r="E30" s="1"/>
      <c r="F30" s="1"/>
      <c r="G30" s="9"/>
    </row>
    <row r="31" spans="1:8" x14ac:dyDescent="0.25">
      <c r="A31" s="19" t="s">
        <v>50</v>
      </c>
      <c r="B31" s="19"/>
      <c r="C31" s="19"/>
      <c r="D31" s="19"/>
      <c r="E31" s="19"/>
      <c r="F31" s="19"/>
      <c r="G31" s="19"/>
      <c r="H31" s="19"/>
    </row>
    <row r="32" spans="1:8" x14ac:dyDescent="0.25">
      <c r="A32" s="3" t="s">
        <v>0</v>
      </c>
      <c r="B32" s="4" t="s">
        <v>1</v>
      </c>
      <c r="C32" s="5" t="s">
        <v>2</v>
      </c>
      <c r="D32" s="5" t="s">
        <v>3</v>
      </c>
      <c r="E32" s="4" t="s">
        <v>4</v>
      </c>
      <c r="F32" s="4" t="s">
        <v>5</v>
      </c>
      <c r="G32" s="5" t="s">
        <v>6</v>
      </c>
      <c r="H32" s="6" t="s">
        <v>7</v>
      </c>
    </row>
    <row r="33" spans="1:8" x14ac:dyDescent="0.25">
      <c r="A33" s="7" t="s">
        <v>14</v>
      </c>
      <c r="B33" t="s">
        <v>9</v>
      </c>
      <c r="C33" s="1">
        <v>5</v>
      </c>
      <c r="D33" s="1" t="s">
        <v>10</v>
      </c>
      <c r="E33" s="8">
        <v>18190765285</v>
      </c>
      <c r="F33" s="8">
        <v>19805143169</v>
      </c>
      <c r="G33" s="9">
        <v>1.0887</v>
      </c>
      <c r="H33" s="10">
        <v>5.44</v>
      </c>
    </row>
    <row r="34" spans="1:8" x14ac:dyDescent="0.25">
      <c r="A34" s="7" t="s">
        <v>14</v>
      </c>
      <c r="B34" t="s">
        <v>12</v>
      </c>
      <c r="C34" s="1" t="s">
        <v>15</v>
      </c>
      <c r="D34" s="1" t="s">
        <v>10</v>
      </c>
      <c r="E34" s="8">
        <v>15466510610</v>
      </c>
      <c r="F34" s="8">
        <v>16671954314</v>
      </c>
      <c r="G34" s="9">
        <v>1.0779000000000001</v>
      </c>
      <c r="H34" s="10">
        <v>13.47</v>
      </c>
    </row>
    <row r="35" spans="1:8" x14ac:dyDescent="0.25">
      <c r="A35" s="7" t="s">
        <v>14</v>
      </c>
      <c r="B35" t="s">
        <v>22</v>
      </c>
      <c r="C35" s="1">
        <v>10</v>
      </c>
      <c r="D35" s="1" t="s">
        <v>10</v>
      </c>
      <c r="E35" s="8">
        <v>3091999153</v>
      </c>
      <c r="F35" s="8">
        <v>1311657665</v>
      </c>
      <c r="G35" s="9">
        <v>0.42420000000000002</v>
      </c>
      <c r="H35" s="10">
        <v>4.24</v>
      </c>
    </row>
    <row r="36" spans="1:8" x14ac:dyDescent="0.25">
      <c r="A36" s="7" t="s">
        <v>14</v>
      </c>
      <c r="B36" t="s">
        <v>19</v>
      </c>
      <c r="C36" s="1">
        <v>10</v>
      </c>
      <c r="D36" s="1" t="s">
        <v>10</v>
      </c>
      <c r="E36" s="8">
        <v>1821557621</v>
      </c>
      <c r="F36" s="8">
        <v>2216507657</v>
      </c>
      <c r="G36" s="9">
        <v>1.2168000000000001</v>
      </c>
      <c r="H36" s="10">
        <v>12.17</v>
      </c>
    </row>
    <row r="37" spans="1:8" x14ac:dyDescent="0.25">
      <c r="A37" s="7" t="s">
        <v>14</v>
      </c>
      <c r="B37" t="s">
        <v>21</v>
      </c>
      <c r="C37" s="1">
        <v>0</v>
      </c>
      <c r="D37" s="1" t="s">
        <v>10</v>
      </c>
      <c r="E37" s="8">
        <v>1686407864</v>
      </c>
      <c r="F37" s="8">
        <v>1334513085</v>
      </c>
      <c r="G37" s="9">
        <v>0.7913</v>
      </c>
      <c r="H37" s="10">
        <v>0</v>
      </c>
    </row>
    <row r="38" spans="1:8" x14ac:dyDescent="0.25">
      <c r="A38" s="7" t="s">
        <v>14</v>
      </c>
      <c r="B38" t="s">
        <v>24</v>
      </c>
      <c r="C38" s="1">
        <v>5</v>
      </c>
      <c r="D38" s="1" t="s">
        <v>10</v>
      </c>
      <c r="E38" s="8">
        <v>789003568</v>
      </c>
      <c r="F38" s="8">
        <v>623104158</v>
      </c>
      <c r="G38" s="9">
        <v>0.78969999999999996</v>
      </c>
      <c r="H38" s="10">
        <v>3.95</v>
      </c>
    </row>
    <row r="39" spans="1:8" x14ac:dyDescent="0.25">
      <c r="A39" s="7" t="s">
        <v>14</v>
      </c>
      <c r="B39" t="s">
        <v>17</v>
      </c>
      <c r="C39" s="1">
        <v>0</v>
      </c>
      <c r="D39" s="1" t="s">
        <v>10</v>
      </c>
      <c r="E39" s="8">
        <v>302765834</v>
      </c>
      <c r="F39" s="8">
        <v>464438832</v>
      </c>
      <c r="G39" s="9">
        <v>1.534</v>
      </c>
      <c r="H39" s="10">
        <v>0</v>
      </c>
    </row>
    <row r="40" spans="1:8" x14ac:dyDescent="0.25">
      <c r="A40" s="7" t="s">
        <v>14</v>
      </c>
      <c r="B40" t="s">
        <v>25</v>
      </c>
      <c r="C40" s="1" t="s">
        <v>26</v>
      </c>
      <c r="D40" s="1" t="s">
        <v>10</v>
      </c>
      <c r="E40" s="8">
        <v>89612005</v>
      </c>
      <c r="F40" s="8">
        <v>10884178</v>
      </c>
      <c r="G40" s="9">
        <v>0.1215</v>
      </c>
      <c r="H40" s="10">
        <v>0.18</v>
      </c>
    </row>
    <row r="41" spans="1:8" x14ac:dyDescent="0.25">
      <c r="A41" s="7" t="s">
        <v>14</v>
      </c>
      <c r="B41" t="s">
        <v>27</v>
      </c>
      <c r="C41" s="1">
        <v>5</v>
      </c>
      <c r="D41" s="1" t="s">
        <v>28</v>
      </c>
      <c r="E41" s="11">
        <v>14981</v>
      </c>
      <c r="F41" s="11">
        <v>4318</v>
      </c>
      <c r="G41" s="9">
        <v>0.28820000000000001</v>
      </c>
      <c r="H41" s="10">
        <v>1.44</v>
      </c>
    </row>
    <row r="42" spans="1:8" x14ac:dyDescent="0.25">
      <c r="A42" s="7" t="s">
        <v>14</v>
      </c>
      <c r="B42" t="s">
        <v>32</v>
      </c>
      <c r="C42" s="1">
        <v>5</v>
      </c>
      <c r="D42" s="1" t="s">
        <v>28</v>
      </c>
      <c r="E42" s="11">
        <v>4586</v>
      </c>
      <c r="F42" s="11">
        <v>2555</v>
      </c>
      <c r="G42" s="9">
        <v>0.55720000000000003</v>
      </c>
      <c r="H42" s="10">
        <v>2.79</v>
      </c>
    </row>
    <row r="43" spans="1:8" x14ac:dyDescent="0.25">
      <c r="A43" s="7" t="s">
        <v>14</v>
      </c>
      <c r="B43" t="s">
        <v>29</v>
      </c>
      <c r="C43" s="1" t="s">
        <v>30</v>
      </c>
      <c r="D43" s="1" t="s">
        <v>31</v>
      </c>
      <c r="E43" s="11">
        <v>2207</v>
      </c>
      <c r="F43" s="11">
        <v>1837</v>
      </c>
      <c r="G43" s="9">
        <v>0.83220000000000005</v>
      </c>
      <c r="H43" s="10">
        <v>2.08</v>
      </c>
    </row>
    <row r="44" spans="1:8" x14ac:dyDescent="0.25">
      <c r="A44" s="7" t="s">
        <v>14</v>
      </c>
      <c r="B44" t="s">
        <v>37</v>
      </c>
      <c r="C44" s="1">
        <v>5</v>
      </c>
      <c r="D44" s="1" t="s">
        <v>28</v>
      </c>
      <c r="E44" s="11">
        <v>1493</v>
      </c>
      <c r="F44" s="11">
        <v>316</v>
      </c>
      <c r="G44" s="9">
        <v>0.21160000000000001</v>
      </c>
      <c r="H44" s="10">
        <v>1.06</v>
      </c>
    </row>
    <row r="45" spans="1:8" x14ac:dyDescent="0.25">
      <c r="A45" s="7" t="s">
        <v>14</v>
      </c>
      <c r="B45" t="s">
        <v>35</v>
      </c>
      <c r="C45" s="1">
        <v>5</v>
      </c>
      <c r="D45" s="1" t="s">
        <v>31</v>
      </c>
      <c r="E45" s="11">
        <v>1379</v>
      </c>
      <c r="F45" s="11">
        <v>712</v>
      </c>
      <c r="G45" s="9">
        <v>0.51590000000000003</v>
      </c>
      <c r="H45" s="10">
        <v>2.58</v>
      </c>
    </row>
    <row r="46" spans="1:8" x14ac:dyDescent="0.25">
      <c r="A46" s="7" t="s">
        <v>14</v>
      </c>
      <c r="B46" t="s">
        <v>33</v>
      </c>
      <c r="C46" s="1">
        <v>5</v>
      </c>
      <c r="D46" s="1" t="s">
        <v>28</v>
      </c>
      <c r="E46" s="11">
        <v>1038</v>
      </c>
      <c r="F46" s="11">
        <v>828</v>
      </c>
      <c r="G46" s="9">
        <v>0.79800000000000004</v>
      </c>
      <c r="H46" s="10">
        <v>3.99</v>
      </c>
    </row>
    <row r="47" spans="1:8" x14ac:dyDescent="0.25">
      <c r="A47" s="7" t="s">
        <v>14</v>
      </c>
      <c r="B47" t="s">
        <v>34</v>
      </c>
      <c r="C47" s="1" t="s">
        <v>30</v>
      </c>
      <c r="D47" s="1" t="s">
        <v>31</v>
      </c>
      <c r="E47" s="11">
        <v>519</v>
      </c>
      <c r="F47" s="11">
        <v>237</v>
      </c>
      <c r="G47" s="9">
        <v>0.45679999999999998</v>
      </c>
      <c r="H47" s="10">
        <v>1.1399999999999999</v>
      </c>
    </row>
    <row r="48" spans="1:8" x14ac:dyDescent="0.25">
      <c r="A48" s="7" t="s">
        <v>14</v>
      </c>
      <c r="B48" t="s">
        <v>38</v>
      </c>
      <c r="C48" s="1">
        <v>5</v>
      </c>
      <c r="D48" s="1" t="s">
        <v>28</v>
      </c>
      <c r="E48" s="11">
        <v>296</v>
      </c>
      <c r="F48" s="11">
        <v>274</v>
      </c>
      <c r="G48" s="9">
        <v>0.9254</v>
      </c>
      <c r="H48" s="10">
        <v>4.63</v>
      </c>
    </row>
    <row r="49" spans="1:8" x14ac:dyDescent="0.25">
      <c r="A49" s="7" t="s">
        <v>14</v>
      </c>
      <c r="B49" t="s">
        <v>36</v>
      </c>
      <c r="C49" s="1" t="s">
        <v>26</v>
      </c>
      <c r="D49" s="1" t="s">
        <v>31</v>
      </c>
      <c r="E49" s="11">
        <v>261</v>
      </c>
      <c r="F49" s="11">
        <v>73</v>
      </c>
      <c r="G49" s="9">
        <v>0.27879999999999999</v>
      </c>
      <c r="H49" s="10">
        <v>0.42</v>
      </c>
    </row>
    <row r="50" spans="1:8" x14ac:dyDescent="0.25">
      <c r="A50" s="7" t="s">
        <v>14</v>
      </c>
      <c r="B50" t="s">
        <v>39</v>
      </c>
      <c r="C50" s="1" t="s">
        <v>30</v>
      </c>
      <c r="D50" s="1" t="s">
        <v>28</v>
      </c>
      <c r="E50" s="11">
        <v>85</v>
      </c>
      <c r="F50" s="11">
        <v>58</v>
      </c>
      <c r="G50" s="9">
        <v>0.68310000000000004</v>
      </c>
      <c r="H50" s="10">
        <v>1.71</v>
      </c>
    </row>
    <row r="51" spans="1:8" x14ac:dyDescent="0.25">
      <c r="A51" s="7" t="s">
        <v>14</v>
      </c>
      <c r="B51" t="s">
        <v>40</v>
      </c>
      <c r="C51" s="1">
        <v>2</v>
      </c>
      <c r="D51" s="1" t="s">
        <v>41</v>
      </c>
      <c r="E51" s="1">
        <v>78.760000000000005</v>
      </c>
      <c r="F51" s="1">
        <v>76.819999999999993</v>
      </c>
      <c r="G51" s="9">
        <v>0.97540000000000004</v>
      </c>
      <c r="H51" s="10">
        <v>1.95</v>
      </c>
    </row>
    <row r="52" spans="1:8" x14ac:dyDescent="0.25">
      <c r="A52" s="7" t="s">
        <v>14</v>
      </c>
      <c r="B52" t="s">
        <v>42</v>
      </c>
      <c r="C52" s="1">
        <v>2</v>
      </c>
      <c r="D52" s="1" t="s">
        <v>41</v>
      </c>
      <c r="E52" s="1">
        <v>30.9</v>
      </c>
      <c r="F52" s="1">
        <v>8.17</v>
      </c>
      <c r="G52" s="9">
        <v>3.7825000000000002</v>
      </c>
      <c r="H52" s="10">
        <v>2.2000000000000002</v>
      </c>
    </row>
    <row r="53" spans="1:8" x14ac:dyDescent="0.25">
      <c r="A53" s="7" t="s">
        <v>14</v>
      </c>
      <c r="B53" t="s">
        <v>43</v>
      </c>
      <c r="C53" s="1">
        <v>2</v>
      </c>
      <c r="D53" s="1" t="s">
        <v>41</v>
      </c>
      <c r="E53" s="1">
        <v>11.23</v>
      </c>
      <c r="F53" s="1">
        <v>3.17</v>
      </c>
      <c r="G53" s="9">
        <v>3.5440999999999998</v>
      </c>
      <c r="H53" s="10">
        <v>2.2000000000000002</v>
      </c>
    </row>
    <row r="54" spans="1:8" x14ac:dyDescent="0.25">
      <c r="A54" s="7" t="s">
        <v>14</v>
      </c>
      <c r="B54" t="s">
        <v>44</v>
      </c>
      <c r="C54" s="1" t="s">
        <v>30</v>
      </c>
      <c r="D54" s="1" t="s">
        <v>41</v>
      </c>
      <c r="E54" s="1">
        <v>11.04</v>
      </c>
      <c r="F54" s="1">
        <v>5.8</v>
      </c>
      <c r="G54" s="9">
        <v>1.9041999999999999</v>
      </c>
      <c r="H54" s="10">
        <v>2.75</v>
      </c>
    </row>
    <row r="55" spans="1:8" x14ac:dyDescent="0.25">
      <c r="A55" s="7" t="s">
        <v>14</v>
      </c>
      <c r="B55" t="s">
        <v>46</v>
      </c>
      <c r="C55" s="1">
        <v>3</v>
      </c>
      <c r="D55" s="1" t="s">
        <v>41</v>
      </c>
      <c r="E55" s="1">
        <v>2.75</v>
      </c>
      <c r="F55" s="1">
        <v>3.13</v>
      </c>
      <c r="G55" s="9">
        <v>0.87990000000000002</v>
      </c>
      <c r="H55" s="10">
        <v>2.64</v>
      </c>
    </row>
    <row r="56" spans="1:8" x14ac:dyDescent="0.25">
      <c r="A56" s="7" t="s">
        <v>14</v>
      </c>
      <c r="B56" t="s">
        <v>47</v>
      </c>
      <c r="C56" s="1" t="s">
        <v>30</v>
      </c>
      <c r="D56" s="1" t="s">
        <v>41</v>
      </c>
      <c r="E56" s="1">
        <v>0.87</v>
      </c>
      <c r="F56" s="1">
        <v>0.37</v>
      </c>
      <c r="G56" s="9">
        <v>2.3643999999999998</v>
      </c>
      <c r="H56" s="10">
        <v>2.75</v>
      </c>
    </row>
    <row r="57" spans="1:8" x14ac:dyDescent="0.25">
      <c r="A57" s="7" t="s">
        <v>14</v>
      </c>
      <c r="B57" t="s">
        <v>48</v>
      </c>
      <c r="C57" s="1">
        <v>3</v>
      </c>
      <c r="D57" s="1" t="s">
        <v>41</v>
      </c>
      <c r="E57" s="1">
        <v>0.31</v>
      </c>
      <c r="F57" s="1">
        <v>0.05</v>
      </c>
      <c r="G57" s="9">
        <v>6.1205999999999996</v>
      </c>
      <c r="H57" s="10">
        <v>3.3</v>
      </c>
    </row>
    <row r="58" spans="1:8" x14ac:dyDescent="0.25">
      <c r="A58" s="13"/>
      <c r="B58" s="14"/>
      <c r="C58" s="15"/>
      <c r="D58" s="15"/>
      <c r="E58" s="15"/>
      <c r="F58" s="15"/>
      <c r="G58" s="18"/>
      <c r="H58" s="16">
        <f>SUM(H33:H57)</f>
        <v>79.080000000000013</v>
      </c>
    </row>
    <row r="59" spans="1:8" x14ac:dyDescent="0.25">
      <c r="E59" s="1"/>
      <c r="F59" s="1"/>
      <c r="G59" s="9"/>
    </row>
    <row r="60" spans="1:8" x14ac:dyDescent="0.25">
      <c r="A60" s="19" t="s">
        <v>51</v>
      </c>
      <c r="B60" s="19"/>
      <c r="C60" s="19"/>
      <c r="D60" s="19"/>
      <c r="E60" s="19"/>
      <c r="F60" s="19"/>
      <c r="G60" s="19"/>
      <c r="H60" s="19"/>
    </row>
    <row r="61" spans="1:8" x14ac:dyDescent="0.25">
      <c r="A61" s="3" t="s">
        <v>0</v>
      </c>
      <c r="B61" s="4" t="s">
        <v>1</v>
      </c>
      <c r="C61" s="5" t="s">
        <v>2</v>
      </c>
      <c r="D61" s="5" t="s">
        <v>3</v>
      </c>
      <c r="E61" s="4" t="s">
        <v>4</v>
      </c>
      <c r="F61" s="4" t="s">
        <v>5</v>
      </c>
      <c r="G61" s="5" t="s">
        <v>6</v>
      </c>
      <c r="H61" s="6" t="s">
        <v>7</v>
      </c>
    </row>
    <row r="62" spans="1:8" x14ac:dyDescent="0.25">
      <c r="A62" s="7" t="s">
        <v>16</v>
      </c>
      <c r="B62" t="s">
        <v>9</v>
      </c>
      <c r="C62" s="1">
        <v>5</v>
      </c>
      <c r="D62" s="1" t="s">
        <v>10</v>
      </c>
      <c r="E62" s="8">
        <v>14629108298</v>
      </c>
      <c r="F62" s="8">
        <v>17265445763</v>
      </c>
      <c r="G62" s="9">
        <v>1.1801999999999999</v>
      </c>
      <c r="H62" s="10">
        <v>5.5</v>
      </c>
    </row>
    <row r="63" spans="1:8" x14ac:dyDescent="0.25">
      <c r="A63" s="7" t="s">
        <v>16</v>
      </c>
      <c r="B63" t="s">
        <v>12</v>
      </c>
      <c r="C63" s="1" t="s">
        <v>15</v>
      </c>
      <c r="D63" s="1" t="s">
        <v>10</v>
      </c>
      <c r="E63" s="8">
        <v>12177450584</v>
      </c>
      <c r="F63" s="8">
        <v>13573289470</v>
      </c>
      <c r="G63" s="9">
        <v>1.1146</v>
      </c>
      <c r="H63" s="10">
        <v>13.93</v>
      </c>
    </row>
    <row r="64" spans="1:8" x14ac:dyDescent="0.25">
      <c r="A64" s="7" t="s">
        <v>16</v>
      </c>
      <c r="B64" t="s">
        <v>22</v>
      </c>
      <c r="C64" s="1">
        <v>10</v>
      </c>
      <c r="D64" s="1" t="s">
        <v>10</v>
      </c>
      <c r="E64" s="8">
        <v>2440995247</v>
      </c>
      <c r="F64" s="8">
        <v>997877899</v>
      </c>
      <c r="G64" s="9">
        <v>0.4088</v>
      </c>
      <c r="H64" s="10">
        <v>4.09</v>
      </c>
    </row>
    <row r="65" spans="1:8" x14ac:dyDescent="0.25">
      <c r="A65" s="7" t="s">
        <v>16</v>
      </c>
      <c r="B65" t="s">
        <v>19</v>
      </c>
      <c r="C65" s="1">
        <v>10</v>
      </c>
      <c r="D65" s="1" t="s">
        <v>10</v>
      </c>
      <c r="E65" s="8">
        <v>1692515292</v>
      </c>
      <c r="F65" s="8">
        <v>1649822835</v>
      </c>
      <c r="G65" s="9">
        <v>0.9748</v>
      </c>
      <c r="H65" s="10">
        <v>9.75</v>
      </c>
    </row>
    <row r="66" spans="1:8" x14ac:dyDescent="0.25">
      <c r="A66" s="7" t="s">
        <v>16</v>
      </c>
      <c r="B66" t="s">
        <v>21</v>
      </c>
      <c r="C66" s="1">
        <v>0</v>
      </c>
      <c r="D66" s="1" t="s">
        <v>10</v>
      </c>
      <c r="E66" s="8">
        <v>1683564317</v>
      </c>
      <c r="F66" s="8">
        <v>1246617494</v>
      </c>
      <c r="G66" s="9">
        <v>0.74050000000000005</v>
      </c>
      <c r="H66" s="10">
        <v>0</v>
      </c>
    </row>
    <row r="67" spans="1:8" x14ac:dyDescent="0.25">
      <c r="A67" s="7" t="s">
        <v>16</v>
      </c>
      <c r="B67" t="s">
        <v>24</v>
      </c>
      <c r="C67" s="1">
        <v>5</v>
      </c>
      <c r="D67" s="1" t="s">
        <v>10</v>
      </c>
      <c r="E67" s="8">
        <v>773770278</v>
      </c>
      <c r="F67" s="8">
        <v>412057403</v>
      </c>
      <c r="G67" s="9">
        <v>0.53249999999999997</v>
      </c>
      <c r="H67" s="10">
        <v>2.66</v>
      </c>
    </row>
    <row r="68" spans="1:8" x14ac:dyDescent="0.25">
      <c r="A68" s="7" t="s">
        <v>16</v>
      </c>
      <c r="B68" t="s">
        <v>17</v>
      </c>
      <c r="C68" s="1">
        <v>0</v>
      </c>
      <c r="D68" s="1" t="s">
        <v>10</v>
      </c>
      <c r="E68" s="8">
        <v>413851412</v>
      </c>
      <c r="F68" s="8">
        <v>648904108</v>
      </c>
      <c r="G68" s="9">
        <v>1.5680000000000001</v>
      </c>
      <c r="H68" s="10">
        <v>0</v>
      </c>
    </row>
    <row r="69" spans="1:8" x14ac:dyDescent="0.25">
      <c r="A69" s="7" t="s">
        <v>16</v>
      </c>
      <c r="B69" t="s">
        <v>25</v>
      </c>
      <c r="C69" s="1" t="s">
        <v>26</v>
      </c>
      <c r="D69" s="1" t="s">
        <v>10</v>
      </c>
      <c r="E69" s="8">
        <v>89612005</v>
      </c>
      <c r="F69" s="8">
        <v>126392023</v>
      </c>
      <c r="G69" s="9">
        <v>1.4104000000000001</v>
      </c>
      <c r="H69" s="10">
        <v>1.65</v>
      </c>
    </row>
    <row r="70" spans="1:8" x14ac:dyDescent="0.25">
      <c r="A70" s="7" t="s">
        <v>16</v>
      </c>
      <c r="B70" t="s">
        <v>27</v>
      </c>
      <c r="C70" s="1">
        <v>5</v>
      </c>
      <c r="D70" s="1" t="s">
        <v>28</v>
      </c>
      <c r="E70" s="11">
        <v>15493</v>
      </c>
      <c r="F70" s="11">
        <v>3816</v>
      </c>
      <c r="G70" s="9">
        <v>0.24629999999999999</v>
      </c>
      <c r="H70" s="10">
        <v>1.23</v>
      </c>
    </row>
    <row r="71" spans="1:8" x14ac:dyDescent="0.25">
      <c r="A71" s="7" t="s">
        <v>16</v>
      </c>
      <c r="B71" t="s">
        <v>32</v>
      </c>
      <c r="C71" s="1">
        <v>5</v>
      </c>
      <c r="D71" s="1" t="s">
        <v>28</v>
      </c>
      <c r="E71" s="11">
        <v>4133</v>
      </c>
      <c r="F71" s="11">
        <v>2577</v>
      </c>
      <c r="G71" s="9">
        <v>0.62339999999999995</v>
      </c>
      <c r="H71" s="10">
        <v>3.12</v>
      </c>
    </row>
    <row r="72" spans="1:8" x14ac:dyDescent="0.25">
      <c r="A72" s="7" t="s">
        <v>16</v>
      </c>
      <c r="B72" t="s">
        <v>29</v>
      </c>
      <c r="C72" s="1" t="s">
        <v>30</v>
      </c>
      <c r="D72" s="1" t="s">
        <v>31</v>
      </c>
      <c r="E72" s="11">
        <v>2033</v>
      </c>
      <c r="F72" s="11">
        <v>1494</v>
      </c>
      <c r="G72" s="9">
        <v>0.73499999999999999</v>
      </c>
      <c r="H72" s="10">
        <v>1.84</v>
      </c>
    </row>
    <row r="73" spans="1:8" x14ac:dyDescent="0.25">
      <c r="A73" s="7" t="s">
        <v>16</v>
      </c>
      <c r="B73" t="s">
        <v>37</v>
      </c>
      <c r="C73" s="1">
        <v>5</v>
      </c>
      <c r="D73" s="1" t="s">
        <v>28</v>
      </c>
      <c r="E73" s="11">
        <v>1416</v>
      </c>
      <c r="F73" s="11">
        <v>403</v>
      </c>
      <c r="G73" s="9">
        <v>0.28460000000000002</v>
      </c>
      <c r="H73" s="10">
        <v>1.42</v>
      </c>
    </row>
    <row r="74" spans="1:8" x14ac:dyDescent="0.25">
      <c r="A74" s="7" t="s">
        <v>16</v>
      </c>
      <c r="B74" t="s">
        <v>35</v>
      </c>
      <c r="C74" s="1">
        <v>5</v>
      </c>
      <c r="D74" s="1" t="s">
        <v>31</v>
      </c>
      <c r="E74" s="11">
        <v>1356</v>
      </c>
      <c r="F74" s="11">
        <v>319</v>
      </c>
      <c r="G74" s="9">
        <v>0.23530000000000001</v>
      </c>
      <c r="H74" s="10">
        <v>1.18</v>
      </c>
    </row>
    <row r="75" spans="1:8" x14ac:dyDescent="0.25">
      <c r="A75" s="7" t="s">
        <v>16</v>
      </c>
      <c r="B75" t="s">
        <v>33</v>
      </c>
      <c r="C75" s="1">
        <v>5</v>
      </c>
      <c r="D75" s="1" t="s">
        <v>28</v>
      </c>
      <c r="E75" s="11">
        <v>988</v>
      </c>
      <c r="F75" s="11">
        <v>715</v>
      </c>
      <c r="G75" s="9">
        <v>0.72350000000000003</v>
      </c>
      <c r="H75" s="10">
        <v>3.62</v>
      </c>
    </row>
    <row r="76" spans="1:8" x14ac:dyDescent="0.25">
      <c r="A76" s="7" t="s">
        <v>16</v>
      </c>
      <c r="B76" t="s">
        <v>34</v>
      </c>
      <c r="C76" s="1" t="s">
        <v>30</v>
      </c>
      <c r="D76" s="1" t="s">
        <v>31</v>
      </c>
      <c r="E76" s="11">
        <v>451</v>
      </c>
      <c r="F76" s="11">
        <v>248</v>
      </c>
      <c r="G76" s="9">
        <v>0.55020000000000002</v>
      </c>
      <c r="H76" s="10">
        <v>1.38</v>
      </c>
    </row>
    <row r="77" spans="1:8" x14ac:dyDescent="0.25">
      <c r="A77" s="7" t="s">
        <v>16</v>
      </c>
      <c r="B77" t="s">
        <v>36</v>
      </c>
      <c r="C77" s="1" t="s">
        <v>26</v>
      </c>
      <c r="D77" s="1" t="s">
        <v>31</v>
      </c>
      <c r="E77" s="11">
        <v>267</v>
      </c>
      <c r="F77" s="11">
        <v>55</v>
      </c>
      <c r="G77" s="9">
        <v>0.20660000000000001</v>
      </c>
      <c r="H77" s="10">
        <v>0.31</v>
      </c>
    </row>
    <row r="78" spans="1:8" x14ac:dyDescent="0.25">
      <c r="A78" s="7" t="s">
        <v>16</v>
      </c>
      <c r="B78" t="s">
        <v>38</v>
      </c>
      <c r="C78" s="1">
        <v>5</v>
      </c>
      <c r="D78" s="1" t="s">
        <v>28</v>
      </c>
      <c r="E78" s="11">
        <v>252</v>
      </c>
      <c r="F78" s="11">
        <v>251</v>
      </c>
      <c r="G78" s="9">
        <v>0.99690000000000001</v>
      </c>
      <c r="H78" s="10">
        <v>4.9800000000000004</v>
      </c>
    </row>
    <row r="79" spans="1:8" x14ac:dyDescent="0.25">
      <c r="A79" s="7" t="s">
        <v>16</v>
      </c>
      <c r="B79" t="s">
        <v>40</v>
      </c>
      <c r="C79" s="1">
        <v>2</v>
      </c>
      <c r="D79" s="1" t="s">
        <v>41</v>
      </c>
      <c r="E79" s="1">
        <v>78.760000000000005</v>
      </c>
      <c r="F79" s="1">
        <v>74.510000000000005</v>
      </c>
      <c r="G79" s="9">
        <v>0.94599999999999995</v>
      </c>
      <c r="H79" s="10">
        <v>1.89</v>
      </c>
    </row>
    <row r="80" spans="1:8" x14ac:dyDescent="0.25">
      <c r="A80" s="7" t="s">
        <v>16</v>
      </c>
      <c r="B80" t="s">
        <v>39</v>
      </c>
      <c r="C80" s="1" t="s">
        <v>30</v>
      </c>
      <c r="D80" s="1" t="s">
        <v>28</v>
      </c>
      <c r="E80" s="1">
        <v>75</v>
      </c>
      <c r="F80" s="1">
        <v>51</v>
      </c>
      <c r="G80" s="9">
        <v>0.68420000000000003</v>
      </c>
      <c r="H80" s="10">
        <v>1.71</v>
      </c>
    </row>
    <row r="81" spans="1:8" x14ac:dyDescent="0.25">
      <c r="A81" s="7" t="s">
        <v>16</v>
      </c>
      <c r="B81" t="s">
        <v>42</v>
      </c>
      <c r="C81" s="1">
        <v>2</v>
      </c>
      <c r="D81" s="1" t="s">
        <v>41</v>
      </c>
      <c r="E81" s="1">
        <v>61.93</v>
      </c>
      <c r="F81" s="1">
        <v>40.049999999999997</v>
      </c>
      <c r="G81" s="9">
        <v>1.5463</v>
      </c>
      <c r="H81" s="10">
        <v>2.2000000000000002</v>
      </c>
    </row>
    <row r="82" spans="1:8" x14ac:dyDescent="0.25">
      <c r="A82" s="7" t="s">
        <v>16</v>
      </c>
      <c r="B82" t="s">
        <v>44</v>
      </c>
      <c r="C82" s="1" t="s">
        <v>30</v>
      </c>
      <c r="D82" s="1" t="s">
        <v>41</v>
      </c>
      <c r="E82" s="1">
        <v>11.04</v>
      </c>
      <c r="F82" s="1">
        <v>11.7</v>
      </c>
      <c r="G82" s="9">
        <v>0.94399999999999995</v>
      </c>
      <c r="H82" s="10">
        <v>2.36</v>
      </c>
    </row>
    <row r="83" spans="1:8" x14ac:dyDescent="0.25">
      <c r="A83" s="7" t="s">
        <v>16</v>
      </c>
      <c r="B83" t="s">
        <v>43</v>
      </c>
      <c r="C83" s="1">
        <v>2</v>
      </c>
      <c r="D83" s="1" t="s">
        <v>41</v>
      </c>
      <c r="E83" s="1">
        <v>10.61</v>
      </c>
      <c r="F83" s="1">
        <v>3.15</v>
      </c>
      <c r="G83" s="9">
        <v>3.3692000000000002</v>
      </c>
      <c r="H83" s="10">
        <v>2.2000000000000002</v>
      </c>
    </row>
    <row r="84" spans="1:8" x14ac:dyDescent="0.25">
      <c r="A84" s="7" t="s">
        <v>16</v>
      </c>
      <c r="B84" t="s">
        <v>46</v>
      </c>
      <c r="C84" s="1">
        <v>3</v>
      </c>
      <c r="D84" s="1" t="s">
        <v>41</v>
      </c>
      <c r="E84" s="1">
        <v>2.75</v>
      </c>
      <c r="F84" s="1">
        <v>2.62</v>
      </c>
      <c r="G84" s="9">
        <v>1.0511999999999999</v>
      </c>
      <c r="H84" s="10">
        <v>3.15</v>
      </c>
    </row>
    <row r="85" spans="1:8" x14ac:dyDescent="0.25">
      <c r="A85" s="7" t="s">
        <v>16</v>
      </c>
      <c r="B85" t="s">
        <v>47</v>
      </c>
      <c r="C85" s="1" t="s">
        <v>30</v>
      </c>
      <c r="D85" s="1" t="s">
        <v>41</v>
      </c>
      <c r="E85" s="1">
        <v>0.87</v>
      </c>
      <c r="F85" s="1">
        <v>0.22</v>
      </c>
      <c r="G85" s="9">
        <v>3.9765999999999999</v>
      </c>
      <c r="H85" s="10">
        <v>2.75</v>
      </c>
    </row>
    <row r="86" spans="1:8" x14ac:dyDescent="0.25">
      <c r="A86" s="7" t="s">
        <v>16</v>
      </c>
      <c r="B86" t="s">
        <v>48</v>
      </c>
      <c r="C86" s="1">
        <v>3</v>
      </c>
      <c r="D86" s="1" t="s">
        <v>41</v>
      </c>
      <c r="E86" s="1">
        <v>0.31</v>
      </c>
      <c r="F86" s="1">
        <v>0.06</v>
      </c>
      <c r="G86" s="9">
        <v>5.1005000000000003</v>
      </c>
      <c r="H86" s="10">
        <v>3.3</v>
      </c>
    </row>
    <row r="87" spans="1:8" x14ac:dyDescent="0.25">
      <c r="A87" s="13"/>
      <c r="B87" s="14"/>
      <c r="C87" s="15"/>
      <c r="D87" s="15"/>
      <c r="E87" s="15"/>
      <c r="F87" s="15"/>
      <c r="G87" s="18"/>
      <c r="H87" s="16">
        <f>SUM(H62:H86)</f>
        <v>76.220000000000013</v>
      </c>
    </row>
    <row r="88" spans="1:8" x14ac:dyDescent="0.25">
      <c r="E88" s="1"/>
      <c r="F88" s="1"/>
      <c r="G88" s="9"/>
    </row>
    <row r="89" spans="1:8" x14ac:dyDescent="0.25">
      <c r="A89" s="19" t="s">
        <v>52</v>
      </c>
      <c r="B89" s="19"/>
      <c r="C89" s="19"/>
      <c r="D89" s="19"/>
      <c r="E89" s="19"/>
      <c r="F89" s="19"/>
      <c r="G89" s="19"/>
      <c r="H89" s="19"/>
    </row>
    <row r="90" spans="1:8" x14ac:dyDescent="0.25">
      <c r="A90" s="3" t="s">
        <v>0</v>
      </c>
      <c r="B90" s="4" t="s">
        <v>1</v>
      </c>
      <c r="C90" s="5" t="s">
        <v>2</v>
      </c>
      <c r="D90" s="5" t="s">
        <v>3</v>
      </c>
      <c r="E90" s="4" t="s">
        <v>4</v>
      </c>
      <c r="F90" s="4" t="s">
        <v>5</v>
      </c>
      <c r="G90" s="5" t="s">
        <v>6</v>
      </c>
      <c r="H90" s="6" t="s">
        <v>7</v>
      </c>
    </row>
    <row r="91" spans="1:8" x14ac:dyDescent="0.25">
      <c r="A91" s="7" t="s">
        <v>13</v>
      </c>
      <c r="B91" t="s">
        <v>9</v>
      </c>
      <c r="C91" s="1">
        <v>5</v>
      </c>
      <c r="D91" s="1" t="s">
        <v>10</v>
      </c>
      <c r="E91" s="8">
        <v>35200641591</v>
      </c>
      <c r="F91" s="8">
        <v>38590757817</v>
      </c>
      <c r="G91" s="9">
        <v>1.0963000000000001</v>
      </c>
      <c r="H91" s="10">
        <v>5.48</v>
      </c>
    </row>
    <row r="92" spans="1:8" x14ac:dyDescent="0.25">
      <c r="A92" s="7" t="s">
        <v>13</v>
      </c>
      <c r="B92" t="s">
        <v>12</v>
      </c>
      <c r="C92" s="1">
        <v>10</v>
      </c>
      <c r="D92" s="1" t="s">
        <v>10</v>
      </c>
      <c r="E92" s="8">
        <v>25020277303</v>
      </c>
      <c r="F92" s="8">
        <v>28593654647</v>
      </c>
      <c r="G92" s="9">
        <v>1.1428</v>
      </c>
      <c r="H92" s="10">
        <v>11.43</v>
      </c>
    </row>
    <row r="93" spans="1:8" x14ac:dyDescent="0.25">
      <c r="A93" s="7" t="s">
        <v>13</v>
      </c>
      <c r="B93" t="s">
        <v>17</v>
      </c>
      <c r="C93" s="1">
        <v>5</v>
      </c>
      <c r="D93" s="1" t="s">
        <v>10</v>
      </c>
      <c r="E93" s="8">
        <v>6338790652</v>
      </c>
      <c r="F93" s="8">
        <v>5359204547</v>
      </c>
      <c r="G93" s="9">
        <v>0.84550000000000003</v>
      </c>
      <c r="H93" s="10">
        <v>4.2300000000000004</v>
      </c>
    </row>
    <row r="94" spans="1:8" x14ac:dyDescent="0.25">
      <c r="A94" s="7" t="s">
        <v>13</v>
      </c>
      <c r="B94" t="s">
        <v>22</v>
      </c>
      <c r="C94" s="1">
        <v>10</v>
      </c>
      <c r="D94" s="1" t="s">
        <v>10</v>
      </c>
      <c r="E94" s="8">
        <v>5122308848</v>
      </c>
      <c r="F94" s="8">
        <v>2415132035</v>
      </c>
      <c r="G94" s="9">
        <v>0.47149999999999997</v>
      </c>
      <c r="H94" s="10">
        <v>4.71</v>
      </c>
    </row>
    <row r="95" spans="1:8" x14ac:dyDescent="0.25">
      <c r="A95" s="7" t="s">
        <v>13</v>
      </c>
      <c r="B95" t="s">
        <v>19</v>
      </c>
      <c r="C95" s="1" t="s">
        <v>20</v>
      </c>
      <c r="D95" s="1" t="s">
        <v>10</v>
      </c>
      <c r="E95" s="8">
        <v>2269886397</v>
      </c>
      <c r="F95" s="8">
        <v>2152294870</v>
      </c>
      <c r="G95" s="9">
        <v>0.94820000000000004</v>
      </c>
      <c r="H95" s="10">
        <v>7.11</v>
      </c>
    </row>
    <row r="96" spans="1:8" x14ac:dyDescent="0.25">
      <c r="A96" s="7" t="s">
        <v>13</v>
      </c>
      <c r="B96" t="s">
        <v>21</v>
      </c>
      <c r="C96" s="1">
        <v>0</v>
      </c>
      <c r="D96" s="1" t="s">
        <v>10</v>
      </c>
      <c r="E96" s="8">
        <v>2154951957</v>
      </c>
      <c r="F96" s="8">
        <v>1590709760</v>
      </c>
      <c r="G96" s="9">
        <v>0.73819999999999997</v>
      </c>
      <c r="H96" s="10">
        <v>0</v>
      </c>
    </row>
    <row r="97" spans="1:8" x14ac:dyDescent="0.25">
      <c r="A97" s="7" t="s">
        <v>13</v>
      </c>
      <c r="B97" t="s">
        <v>24</v>
      </c>
      <c r="C97" s="1">
        <v>5</v>
      </c>
      <c r="D97" s="1" t="s">
        <v>10</v>
      </c>
      <c r="E97" s="8">
        <v>773770278</v>
      </c>
      <c r="F97" s="8">
        <v>516093841</v>
      </c>
      <c r="G97" s="9">
        <v>0.66700000000000004</v>
      </c>
      <c r="H97" s="10">
        <v>3.33</v>
      </c>
    </row>
    <row r="98" spans="1:8" x14ac:dyDescent="0.25">
      <c r="A98" s="7" t="s">
        <v>13</v>
      </c>
      <c r="B98" t="s">
        <v>25</v>
      </c>
      <c r="C98" s="1" t="s">
        <v>26</v>
      </c>
      <c r="D98" s="1" t="s">
        <v>10</v>
      </c>
      <c r="E98" s="8">
        <v>89612005</v>
      </c>
      <c r="F98" s="8">
        <v>232396800</v>
      </c>
      <c r="G98" s="9">
        <v>2.5933999999999999</v>
      </c>
      <c r="H98" s="10">
        <v>1.65</v>
      </c>
    </row>
    <row r="99" spans="1:8" x14ac:dyDescent="0.25">
      <c r="A99" s="7" t="s">
        <v>13</v>
      </c>
      <c r="B99" t="s">
        <v>27</v>
      </c>
      <c r="C99" s="1">
        <v>5</v>
      </c>
      <c r="D99" s="1" t="s">
        <v>28</v>
      </c>
      <c r="E99" s="11">
        <v>10259</v>
      </c>
      <c r="F99" s="11">
        <v>3532</v>
      </c>
      <c r="G99" s="9">
        <v>0.34429999999999999</v>
      </c>
      <c r="H99" s="10">
        <v>1.72</v>
      </c>
    </row>
    <row r="100" spans="1:8" x14ac:dyDescent="0.25">
      <c r="A100" s="7" t="s">
        <v>13</v>
      </c>
      <c r="B100" t="s">
        <v>32</v>
      </c>
      <c r="C100" s="1">
        <v>5</v>
      </c>
      <c r="D100" s="1" t="s">
        <v>28</v>
      </c>
      <c r="E100" s="11">
        <v>6428</v>
      </c>
      <c r="F100" s="11">
        <v>4337</v>
      </c>
      <c r="G100" s="9">
        <v>0.67469999999999997</v>
      </c>
      <c r="H100" s="10">
        <v>3.37</v>
      </c>
    </row>
    <row r="101" spans="1:8" x14ac:dyDescent="0.25">
      <c r="A101" s="7" t="s">
        <v>13</v>
      </c>
      <c r="B101" t="s">
        <v>29</v>
      </c>
      <c r="C101" s="1" t="s">
        <v>30</v>
      </c>
      <c r="D101" s="1" t="s">
        <v>31</v>
      </c>
      <c r="E101" s="11">
        <v>2685</v>
      </c>
      <c r="F101" s="11">
        <v>1863</v>
      </c>
      <c r="G101" s="9">
        <v>0.69379999999999997</v>
      </c>
      <c r="H101" s="10">
        <v>1.73</v>
      </c>
    </row>
    <row r="102" spans="1:8" x14ac:dyDescent="0.25">
      <c r="A102" s="7" t="s">
        <v>13</v>
      </c>
      <c r="B102" t="s">
        <v>37</v>
      </c>
      <c r="C102" s="1">
        <v>5</v>
      </c>
      <c r="D102" s="1" t="s">
        <v>28</v>
      </c>
      <c r="E102" s="11">
        <v>1889</v>
      </c>
      <c r="F102" s="11">
        <v>522</v>
      </c>
      <c r="G102" s="9">
        <v>0.27639999999999998</v>
      </c>
      <c r="H102" s="10">
        <v>1.38</v>
      </c>
    </row>
    <row r="103" spans="1:8" x14ac:dyDescent="0.25">
      <c r="A103" s="7" t="s">
        <v>13</v>
      </c>
      <c r="B103" t="s">
        <v>35</v>
      </c>
      <c r="C103" s="1">
        <v>5</v>
      </c>
      <c r="D103" s="1" t="s">
        <v>31</v>
      </c>
      <c r="E103" s="11">
        <v>1521</v>
      </c>
      <c r="F103" s="11">
        <v>587</v>
      </c>
      <c r="G103" s="9">
        <v>0.38590000000000002</v>
      </c>
      <c r="H103" s="10">
        <v>1.93</v>
      </c>
    </row>
    <row r="104" spans="1:8" x14ac:dyDescent="0.25">
      <c r="A104" s="7" t="s">
        <v>13</v>
      </c>
      <c r="B104" t="s">
        <v>33</v>
      </c>
      <c r="C104" s="1">
        <v>5</v>
      </c>
      <c r="D104" s="1" t="s">
        <v>28</v>
      </c>
      <c r="E104" s="11">
        <v>1067</v>
      </c>
      <c r="F104" s="11">
        <v>906</v>
      </c>
      <c r="G104" s="9">
        <v>0.84919999999999995</v>
      </c>
      <c r="H104" s="10">
        <v>4.25</v>
      </c>
    </row>
    <row r="105" spans="1:8" x14ac:dyDescent="0.25">
      <c r="A105" s="7" t="s">
        <v>13</v>
      </c>
      <c r="B105" t="s">
        <v>34</v>
      </c>
      <c r="C105" s="1" t="s">
        <v>30</v>
      </c>
      <c r="D105" s="1" t="s">
        <v>31</v>
      </c>
      <c r="E105" s="11">
        <v>563</v>
      </c>
      <c r="F105" s="11">
        <v>102</v>
      </c>
      <c r="G105" s="9">
        <v>0.1812</v>
      </c>
      <c r="H105" s="10">
        <v>0.45</v>
      </c>
    </row>
    <row r="106" spans="1:8" x14ac:dyDescent="0.25">
      <c r="A106" s="7" t="s">
        <v>13</v>
      </c>
      <c r="B106" t="s">
        <v>36</v>
      </c>
      <c r="C106" s="1" t="s">
        <v>26</v>
      </c>
      <c r="D106" s="1" t="s">
        <v>31</v>
      </c>
      <c r="E106" s="11">
        <v>321</v>
      </c>
      <c r="F106" s="11">
        <v>276</v>
      </c>
      <c r="G106" s="9">
        <v>0.85970000000000002</v>
      </c>
      <c r="H106" s="10">
        <v>1.29</v>
      </c>
    </row>
    <row r="107" spans="1:8" x14ac:dyDescent="0.25">
      <c r="A107" s="7" t="s">
        <v>13</v>
      </c>
      <c r="B107" t="s">
        <v>38</v>
      </c>
      <c r="C107" s="1">
        <v>5</v>
      </c>
      <c r="D107" s="1" t="s">
        <v>28</v>
      </c>
      <c r="E107" s="11">
        <v>284</v>
      </c>
      <c r="F107" s="11">
        <v>272</v>
      </c>
      <c r="G107" s="9">
        <v>0.95840000000000003</v>
      </c>
      <c r="H107" s="10">
        <v>4.79</v>
      </c>
    </row>
    <row r="108" spans="1:8" x14ac:dyDescent="0.25">
      <c r="A108" s="7" t="s">
        <v>13</v>
      </c>
      <c r="B108" t="s">
        <v>40</v>
      </c>
      <c r="C108" s="1">
        <v>2</v>
      </c>
      <c r="D108" s="1" t="s">
        <v>41</v>
      </c>
      <c r="E108" s="1">
        <v>78.760000000000005</v>
      </c>
      <c r="F108" s="1">
        <v>84.36</v>
      </c>
      <c r="G108" s="9">
        <v>1.0710999999999999</v>
      </c>
      <c r="H108" s="10">
        <v>2.14</v>
      </c>
    </row>
    <row r="109" spans="1:8" x14ac:dyDescent="0.25">
      <c r="A109" s="7" t="s">
        <v>13</v>
      </c>
      <c r="B109" t="s">
        <v>39</v>
      </c>
      <c r="C109" s="1" t="s">
        <v>30</v>
      </c>
      <c r="D109" s="1" t="s">
        <v>28</v>
      </c>
      <c r="E109" s="1">
        <v>41</v>
      </c>
      <c r="F109" s="1">
        <v>51</v>
      </c>
      <c r="G109" s="12">
        <v>1.25</v>
      </c>
      <c r="H109" s="10">
        <v>2.75</v>
      </c>
    </row>
    <row r="110" spans="1:8" x14ac:dyDescent="0.25">
      <c r="A110" s="7" t="s">
        <v>13</v>
      </c>
      <c r="B110" t="s">
        <v>42</v>
      </c>
      <c r="C110" s="1">
        <v>2</v>
      </c>
      <c r="D110" s="1" t="s">
        <v>41</v>
      </c>
      <c r="E110" s="1">
        <v>14.83</v>
      </c>
      <c r="F110" s="1">
        <v>25.77</v>
      </c>
      <c r="G110" s="9">
        <v>0.57569999999999999</v>
      </c>
      <c r="H110" s="10">
        <v>1.1499999999999999</v>
      </c>
    </row>
    <row r="111" spans="1:8" x14ac:dyDescent="0.25">
      <c r="A111" s="7" t="s">
        <v>13</v>
      </c>
      <c r="B111" t="s">
        <v>44</v>
      </c>
      <c r="C111" s="1" t="s">
        <v>30</v>
      </c>
      <c r="D111" s="1" t="s">
        <v>41</v>
      </c>
      <c r="E111" s="1">
        <v>11.04</v>
      </c>
      <c r="F111" s="1">
        <v>14.75</v>
      </c>
      <c r="G111" s="9">
        <v>0.74880000000000002</v>
      </c>
      <c r="H111" s="10">
        <v>1.87</v>
      </c>
    </row>
    <row r="112" spans="1:8" x14ac:dyDescent="0.25">
      <c r="A112" s="7" t="s">
        <v>13</v>
      </c>
      <c r="B112" t="s">
        <v>43</v>
      </c>
      <c r="C112" s="1">
        <v>2</v>
      </c>
      <c r="D112" s="1" t="s">
        <v>41</v>
      </c>
      <c r="E112" s="1">
        <v>3.63</v>
      </c>
      <c r="F112" s="1">
        <v>6.33</v>
      </c>
      <c r="G112" s="9">
        <v>0.57299999999999995</v>
      </c>
      <c r="H112" s="10">
        <v>1.1499999999999999</v>
      </c>
    </row>
    <row r="113" spans="1:8" x14ac:dyDescent="0.25">
      <c r="A113" s="7" t="s">
        <v>13</v>
      </c>
      <c r="B113" t="s">
        <v>46</v>
      </c>
      <c r="C113" s="1">
        <v>3</v>
      </c>
      <c r="D113" s="1" t="s">
        <v>41</v>
      </c>
      <c r="E113" s="1">
        <v>2.75</v>
      </c>
      <c r="F113" s="1">
        <v>2.98</v>
      </c>
      <c r="G113" s="9">
        <v>0.92420000000000002</v>
      </c>
      <c r="H113" s="10">
        <v>2.77</v>
      </c>
    </row>
    <row r="114" spans="1:8" x14ac:dyDescent="0.25">
      <c r="A114" s="7" t="s">
        <v>13</v>
      </c>
      <c r="B114" t="s">
        <v>47</v>
      </c>
      <c r="C114" s="1" t="s">
        <v>30</v>
      </c>
      <c r="D114" s="1" t="s">
        <v>41</v>
      </c>
      <c r="E114" s="1">
        <v>0.87</v>
      </c>
      <c r="F114" s="1">
        <v>0.2</v>
      </c>
      <c r="G114" s="9">
        <v>4.3742000000000001</v>
      </c>
      <c r="H114" s="10">
        <v>2.75</v>
      </c>
    </row>
    <row r="115" spans="1:8" x14ac:dyDescent="0.25">
      <c r="A115" s="7" t="s">
        <v>13</v>
      </c>
      <c r="B115" t="s">
        <v>48</v>
      </c>
      <c r="C115" s="1">
        <v>3</v>
      </c>
      <c r="D115" s="1" t="s">
        <v>41</v>
      </c>
      <c r="E115" s="1">
        <v>0.31</v>
      </c>
      <c r="F115" s="1" t="s">
        <v>11</v>
      </c>
      <c r="G115" s="12">
        <v>1.1000000000000001</v>
      </c>
      <c r="H115" s="10">
        <v>3.3</v>
      </c>
    </row>
    <row r="116" spans="1:8" x14ac:dyDescent="0.25">
      <c r="A116" s="13"/>
      <c r="B116" s="14"/>
      <c r="C116" s="15"/>
      <c r="D116" s="15"/>
      <c r="E116" s="15"/>
      <c r="F116" s="15"/>
      <c r="G116" s="17"/>
      <c r="H116" s="16">
        <f>SUM(H91:H115)</f>
        <v>76.73</v>
      </c>
    </row>
    <row r="117" spans="1:8" x14ac:dyDescent="0.25">
      <c r="E117" s="1"/>
      <c r="F117" s="1"/>
      <c r="G117" s="12"/>
    </row>
    <row r="118" spans="1:8" x14ac:dyDescent="0.25">
      <c r="A118" s="19" t="s">
        <v>53</v>
      </c>
      <c r="B118" s="19"/>
      <c r="C118" s="19"/>
      <c r="D118" s="19"/>
      <c r="E118" s="19"/>
      <c r="F118" s="19"/>
      <c r="G118" s="19"/>
      <c r="H118" s="19"/>
    </row>
    <row r="119" spans="1:8" x14ac:dyDescent="0.25">
      <c r="A119" s="3" t="s">
        <v>0</v>
      </c>
      <c r="B119" s="4" t="s">
        <v>1</v>
      </c>
      <c r="C119" s="5" t="s">
        <v>2</v>
      </c>
      <c r="D119" s="5" t="s">
        <v>3</v>
      </c>
      <c r="E119" s="4" t="s">
        <v>4</v>
      </c>
      <c r="F119" s="4" t="s">
        <v>5</v>
      </c>
      <c r="G119" s="5" t="s">
        <v>6</v>
      </c>
      <c r="H119" s="6" t="s">
        <v>7</v>
      </c>
    </row>
    <row r="120" spans="1:8" x14ac:dyDescent="0.25">
      <c r="A120" s="7" t="s">
        <v>18</v>
      </c>
      <c r="B120" t="s">
        <v>9</v>
      </c>
      <c r="C120" s="1">
        <v>5</v>
      </c>
      <c r="D120" s="1" t="s">
        <v>10</v>
      </c>
      <c r="E120" s="8">
        <v>10848655273</v>
      </c>
      <c r="F120" s="8">
        <v>13057511768</v>
      </c>
      <c r="G120" s="9">
        <v>1.2036</v>
      </c>
      <c r="H120" s="10">
        <v>5.5</v>
      </c>
    </row>
    <row r="121" spans="1:8" x14ac:dyDescent="0.25">
      <c r="A121" s="7" t="s">
        <v>18</v>
      </c>
      <c r="B121" t="s">
        <v>12</v>
      </c>
      <c r="C121" s="1" t="s">
        <v>15</v>
      </c>
      <c r="D121" s="1" t="s">
        <v>10</v>
      </c>
      <c r="E121" s="8">
        <v>8226946715</v>
      </c>
      <c r="F121" s="8">
        <v>10632331483</v>
      </c>
      <c r="G121" s="9">
        <v>1.2924</v>
      </c>
      <c r="H121" s="10">
        <v>16.149999999999999</v>
      </c>
    </row>
    <row r="122" spans="1:8" x14ac:dyDescent="0.25">
      <c r="A122" s="7" t="s">
        <v>18</v>
      </c>
      <c r="B122" t="s">
        <v>21</v>
      </c>
      <c r="C122" s="1">
        <v>0</v>
      </c>
      <c r="D122" s="1" t="s">
        <v>10</v>
      </c>
      <c r="E122" s="8">
        <v>2245564130</v>
      </c>
      <c r="F122" s="8">
        <v>1192126229</v>
      </c>
      <c r="G122" s="9">
        <v>0.53090000000000004</v>
      </c>
      <c r="H122" s="10">
        <v>0</v>
      </c>
    </row>
    <row r="123" spans="1:8" x14ac:dyDescent="0.25">
      <c r="A123" s="7" t="s">
        <v>18</v>
      </c>
      <c r="B123" t="s">
        <v>19</v>
      </c>
      <c r="C123" s="1">
        <v>10</v>
      </c>
      <c r="D123" s="1" t="s">
        <v>10</v>
      </c>
      <c r="E123" s="8">
        <v>2123756680</v>
      </c>
      <c r="F123" s="8">
        <v>1270577492</v>
      </c>
      <c r="G123" s="9">
        <v>0.59830000000000005</v>
      </c>
      <c r="H123" s="10">
        <v>5.98</v>
      </c>
    </row>
    <row r="124" spans="1:8" x14ac:dyDescent="0.25">
      <c r="A124" s="7" t="s">
        <v>18</v>
      </c>
      <c r="B124" t="s">
        <v>22</v>
      </c>
      <c r="C124" s="1">
        <v>10</v>
      </c>
      <c r="D124" s="1" t="s">
        <v>10</v>
      </c>
      <c r="E124" s="8">
        <v>1660074089</v>
      </c>
      <c r="F124" s="8">
        <v>721635316</v>
      </c>
      <c r="G124" s="9">
        <v>0.43469999999999998</v>
      </c>
      <c r="H124" s="10">
        <v>4.3499999999999996</v>
      </c>
    </row>
    <row r="125" spans="1:8" x14ac:dyDescent="0.25">
      <c r="A125" s="7" t="s">
        <v>18</v>
      </c>
      <c r="B125" t="s">
        <v>24</v>
      </c>
      <c r="C125" s="1">
        <v>5</v>
      </c>
      <c r="D125" s="1" t="s">
        <v>10</v>
      </c>
      <c r="E125" s="8">
        <v>773770278</v>
      </c>
      <c r="F125" s="8">
        <v>242560223</v>
      </c>
      <c r="G125" s="9">
        <v>0.3135</v>
      </c>
      <c r="H125" s="10">
        <v>1.57</v>
      </c>
    </row>
    <row r="126" spans="1:8" x14ac:dyDescent="0.25">
      <c r="A126" s="7" t="s">
        <v>18</v>
      </c>
      <c r="B126" t="s">
        <v>17</v>
      </c>
      <c r="C126" s="1">
        <v>0</v>
      </c>
      <c r="D126" s="1" t="s">
        <v>10</v>
      </c>
      <c r="E126" s="8">
        <v>348962534</v>
      </c>
      <c r="F126" s="8">
        <v>505231303</v>
      </c>
      <c r="G126" s="9">
        <v>1.4478</v>
      </c>
      <c r="H126" s="10">
        <v>0</v>
      </c>
    </row>
    <row r="127" spans="1:8" x14ac:dyDescent="0.25">
      <c r="A127" s="7" t="s">
        <v>18</v>
      </c>
      <c r="B127" t="s">
        <v>25</v>
      </c>
      <c r="C127" s="1" t="s">
        <v>26</v>
      </c>
      <c r="D127" s="1" t="s">
        <v>10</v>
      </c>
      <c r="E127" s="8">
        <v>89612005</v>
      </c>
      <c r="F127" s="8">
        <v>232844750</v>
      </c>
      <c r="G127" s="9">
        <v>2.5983999999999998</v>
      </c>
      <c r="H127" s="10">
        <v>1.65</v>
      </c>
    </row>
    <row r="128" spans="1:8" x14ac:dyDescent="0.25">
      <c r="A128" s="7" t="s">
        <v>18</v>
      </c>
      <c r="B128" t="s">
        <v>27</v>
      </c>
      <c r="C128" s="1">
        <v>5</v>
      </c>
      <c r="D128" s="1" t="s">
        <v>28</v>
      </c>
      <c r="E128" s="11">
        <v>8126</v>
      </c>
      <c r="F128" s="11">
        <v>147</v>
      </c>
      <c r="G128" s="9">
        <v>0.18090000000000001</v>
      </c>
      <c r="H128" s="10">
        <v>0.9</v>
      </c>
    </row>
    <row r="129" spans="1:8" x14ac:dyDescent="0.25">
      <c r="A129" s="7" t="s">
        <v>18</v>
      </c>
      <c r="B129" t="s">
        <v>32</v>
      </c>
      <c r="C129" s="1">
        <v>5</v>
      </c>
      <c r="D129" s="1" t="s">
        <v>28</v>
      </c>
      <c r="E129" s="11">
        <v>3048</v>
      </c>
      <c r="F129" s="11">
        <v>1808</v>
      </c>
      <c r="G129" s="9">
        <v>0.59319999999999995</v>
      </c>
      <c r="H129" s="10">
        <v>2.97</v>
      </c>
    </row>
    <row r="130" spans="1:8" x14ac:dyDescent="0.25">
      <c r="A130" s="7" t="s">
        <v>18</v>
      </c>
      <c r="B130" t="s">
        <v>29</v>
      </c>
      <c r="C130" s="1" t="s">
        <v>30</v>
      </c>
      <c r="D130" s="1" t="s">
        <v>31</v>
      </c>
      <c r="E130" s="11">
        <v>1505</v>
      </c>
      <c r="F130" s="11">
        <v>871</v>
      </c>
      <c r="G130" s="9">
        <v>0.57909999999999995</v>
      </c>
      <c r="H130" s="10">
        <v>1.45</v>
      </c>
    </row>
    <row r="131" spans="1:8" x14ac:dyDescent="0.25">
      <c r="A131" s="7" t="s">
        <v>18</v>
      </c>
      <c r="B131" t="s">
        <v>35</v>
      </c>
      <c r="C131" s="1">
        <v>5</v>
      </c>
      <c r="D131" s="1" t="s">
        <v>31</v>
      </c>
      <c r="E131" s="11">
        <v>129</v>
      </c>
      <c r="F131" s="11">
        <v>382</v>
      </c>
      <c r="G131" s="9">
        <v>0.29570000000000002</v>
      </c>
      <c r="H131" s="10">
        <v>1.48</v>
      </c>
    </row>
    <row r="132" spans="1:8" x14ac:dyDescent="0.25">
      <c r="A132" s="7" t="s">
        <v>18</v>
      </c>
      <c r="B132" t="s">
        <v>37</v>
      </c>
      <c r="C132" s="1">
        <v>5</v>
      </c>
      <c r="D132" s="1" t="s">
        <v>28</v>
      </c>
      <c r="E132" s="11">
        <v>1197</v>
      </c>
      <c r="F132" s="11">
        <v>213</v>
      </c>
      <c r="G132" s="9">
        <v>0.1779</v>
      </c>
      <c r="H132" s="10">
        <v>0.89</v>
      </c>
    </row>
    <row r="133" spans="1:8" x14ac:dyDescent="0.25">
      <c r="A133" s="7" t="s">
        <v>18</v>
      </c>
      <c r="B133" t="s">
        <v>33</v>
      </c>
      <c r="C133" s="1">
        <v>5</v>
      </c>
      <c r="D133" s="1" t="s">
        <v>28</v>
      </c>
      <c r="E133" s="11">
        <v>902</v>
      </c>
      <c r="F133" s="11">
        <v>363</v>
      </c>
      <c r="G133" s="9">
        <v>0.40260000000000001</v>
      </c>
      <c r="H133" s="10">
        <v>2.0099999999999998</v>
      </c>
    </row>
    <row r="134" spans="1:8" x14ac:dyDescent="0.25">
      <c r="A134" s="7" t="s">
        <v>18</v>
      </c>
      <c r="B134" t="s">
        <v>34</v>
      </c>
      <c r="C134" s="1" t="s">
        <v>30</v>
      </c>
      <c r="D134" s="1" t="s">
        <v>31</v>
      </c>
      <c r="E134" s="11">
        <v>321</v>
      </c>
      <c r="F134" s="11">
        <v>144</v>
      </c>
      <c r="G134" s="9">
        <v>0.44790000000000002</v>
      </c>
      <c r="H134" s="10">
        <v>1.1200000000000001</v>
      </c>
    </row>
    <row r="135" spans="1:8" x14ac:dyDescent="0.25">
      <c r="A135" s="7" t="s">
        <v>18</v>
      </c>
      <c r="B135" t="s">
        <v>36</v>
      </c>
      <c r="C135" s="1" t="s">
        <v>26</v>
      </c>
      <c r="D135" s="1" t="s">
        <v>31</v>
      </c>
      <c r="E135" s="11">
        <v>216</v>
      </c>
      <c r="F135" s="11">
        <v>129</v>
      </c>
      <c r="G135" s="9">
        <v>0.59930000000000005</v>
      </c>
      <c r="H135" s="10">
        <v>0.9</v>
      </c>
    </row>
    <row r="136" spans="1:8" x14ac:dyDescent="0.25">
      <c r="A136" s="7" t="s">
        <v>18</v>
      </c>
      <c r="B136" t="s">
        <v>38</v>
      </c>
      <c r="C136" s="1">
        <v>5</v>
      </c>
      <c r="D136" s="1" t="s">
        <v>28</v>
      </c>
      <c r="E136" s="11">
        <v>136</v>
      </c>
      <c r="F136" s="11">
        <v>125</v>
      </c>
      <c r="G136" s="9">
        <v>0.91769999999999996</v>
      </c>
      <c r="H136" s="10">
        <v>4.59</v>
      </c>
    </row>
    <row r="137" spans="1:8" x14ac:dyDescent="0.25">
      <c r="A137" s="7" t="s">
        <v>18</v>
      </c>
      <c r="B137" t="s">
        <v>39</v>
      </c>
      <c r="C137" s="1" t="s">
        <v>30</v>
      </c>
      <c r="D137" s="1" t="s">
        <v>28</v>
      </c>
      <c r="E137" s="11">
        <v>108</v>
      </c>
      <c r="F137" s="11">
        <v>55</v>
      </c>
      <c r="G137" s="9">
        <v>0.50790000000000002</v>
      </c>
      <c r="H137" s="10">
        <v>1.27</v>
      </c>
    </row>
    <row r="138" spans="1:8" x14ac:dyDescent="0.25">
      <c r="A138" s="7" t="s">
        <v>18</v>
      </c>
      <c r="B138" t="s">
        <v>40</v>
      </c>
      <c r="C138" s="1">
        <v>2</v>
      </c>
      <c r="D138" s="1" t="s">
        <v>41</v>
      </c>
      <c r="E138" s="1">
        <v>78.760000000000005</v>
      </c>
      <c r="F138" s="1">
        <v>88.79</v>
      </c>
      <c r="G138" s="9">
        <v>1.1273</v>
      </c>
      <c r="H138" s="10">
        <v>2.2000000000000002</v>
      </c>
    </row>
    <row r="139" spans="1:8" x14ac:dyDescent="0.25">
      <c r="A139" s="7" t="s">
        <v>18</v>
      </c>
      <c r="B139" t="s">
        <v>42</v>
      </c>
      <c r="C139" s="1">
        <v>2</v>
      </c>
      <c r="D139" s="1" t="s">
        <v>41</v>
      </c>
      <c r="E139" s="1">
        <v>23.86</v>
      </c>
      <c r="F139" s="1">
        <v>59.35</v>
      </c>
      <c r="G139" s="9">
        <v>0.40210000000000001</v>
      </c>
      <c r="H139" s="10">
        <v>0.8</v>
      </c>
    </row>
    <row r="140" spans="1:8" x14ac:dyDescent="0.25">
      <c r="A140" s="7" t="s">
        <v>18</v>
      </c>
      <c r="B140" t="s">
        <v>43</v>
      </c>
      <c r="C140" s="1">
        <v>2</v>
      </c>
      <c r="D140" s="1" t="s">
        <v>41</v>
      </c>
      <c r="E140" s="1">
        <v>14.97</v>
      </c>
      <c r="F140" s="1">
        <v>4.9800000000000004</v>
      </c>
      <c r="G140" s="9">
        <v>3.0055999999999998</v>
      </c>
      <c r="H140" s="10">
        <v>2.2000000000000002</v>
      </c>
    </row>
    <row r="141" spans="1:8" x14ac:dyDescent="0.25">
      <c r="A141" s="7" t="s">
        <v>18</v>
      </c>
      <c r="B141" t="s">
        <v>44</v>
      </c>
      <c r="C141" s="1" t="s">
        <v>30</v>
      </c>
      <c r="D141" s="1" t="s">
        <v>41</v>
      </c>
      <c r="E141" s="1">
        <v>11.04</v>
      </c>
      <c r="F141" s="1">
        <v>10.96</v>
      </c>
      <c r="G141" s="9">
        <v>1.0077</v>
      </c>
      <c r="H141" s="10">
        <v>2.52</v>
      </c>
    </row>
    <row r="142" spans="1:8" x14ac:dyDescent="0.25">
      <c r="A142" s="7" t="s">
        <v>18</v>
      </c>
      <c r="B142" t="s">
        <v>46</v>
      </c>
      <c r="C142" s="1">
        <v>3</v>
      </c>
      <c r="D142" s="1" t="s">
        <v>41</v>
      </c>
      <c r="E142" s="1">
        <v>2.75</v>
      </c>
      <c r="F142" s="1">
        <v>2.2000000000000002</v>
      </c>
      <c r="G142" s="9">
        <v>1.2519</v>
      </c>
      <c r="H142" s="10">
        <v>3.3</v>
      </c>
    </row>
    <row r="143" spans="1:8" x14ac:dyDescent="0.25">
      <c r="A143" s="7" t="s">
        <v>18</v>
      </c>
      <c r="B143" t="s">
        <v>47</v>
      </c>
      <c r="C143" s="1" t="s">
        <v>30</v>
      </c>
      <c r="D143" s="1" t="s">
        <v>41</v>
      </c>
      <c r="E143" s="1">
        <v>0.87</v>
      </c>
      <c r="F143" s="1" t="s">
        <v>11</v>
      </c>
      <c r="G143" s="12">
        <v>1.1000000000000001</v>
      </c>
      <c r="H143" s="10">
        <v>2.75</v>
      </c>
    </row>
    <row r="144" spans="1:8" x14ac:dyDescent="0.25">
      <c r="A144" s="7" t="s">
        <v>18</v>
      </c>
      <c r="B144" t="s">
        <v>48</v>
      </c>
      <c r="C144" s="1">
        <v>3</v>
      </c>
      <c r="D144" s="1" t="s">
        <v>41</v>
      </c>
      <c r="E144" s="1">
        <v>0.31</v>
      </c>
      <c r="F144" s="1">
        <v>0.02</v>
      </c>
      <c r="G144" s="1" t="s">
        <v>49</v>
      </c>
      <c r="H144" s="10">
        <v>3.3</v>
      </c>
    </row>
    <row r="145" spans="1:8" x14ac:dyDescent="0.25">
      <c r="A145" s="13"/>
      <c r="B145" s="14"/>
      <c r="C145" s="15"/>
      <c r="D145" s="15"/>
      <c r="E145" s="15"/>
      <c r="F145" s="15"/>
      <c r="G145" s="15"/>
      <c r="H145" s="16">
        <f>SUM(H120:H144)</f>
        <v>69.849999999999994</v>
      </c>
    </row>
    <row r="146" spans="1:8" x14ac:dyDescent="0.25">
      <c r="E146" s="1"/>
      <c r="F146" s="1"/>
    </row>
    <row r="147" spans="1:8" x14ac:dyDescent="0.25">
      <c r="A147" s="19" t="s">
        <v>54</v>
      </c>
      <c r="B147" s="19"/>
      <c r="C147" s="19"/>
      <c r="D147" s="19"/>
      <c r="E147" s="19"/>
      <c r="F147" s="19"/>
      <c r="G147" s="19"/>
      <c r="H147" s="19"/>
    </row>
    <row r="148" spans="1:8" x14ac:dyDescent="0.25">
      <c r="A148" s="3" t="s">
        <v>0</v>
      </c>
      <c r="B148" s="4" t="s">
        <v>1</v>
      </c>
      <c r="C148" s="5" t="s">
        <v>2</v>
      </c>
      <c r="D148" s="5" t="s">
        <v>3</v>
      </c>
      <c r="E148" s="4" t="s">
        <v>4</v>
      </c>
      <c r="F148" s="4" t="s">
        <v>5</v>
      </c>
      <c r="G148" s="5" t="s">
        <v>6</v>
      </c>
      <c r="H148" s="6" t="s">
        <v>7</v>
      </c>
    </row>
    <row r="149" spans="1:8" x14ac:dyDescent="0.25">
      <c r="A149" s="7" t="s">
        <v>23</v>
      </c>
      <c r="B149" t="s">
        <v>9</v>
      </c>
      <c r="C149" s="1">
        <v>5</v>
      </c>
      <c r="D149" s="1" t="s">
        <v>10</v>
      </c>
      <c r="E149" s="8">
        <v>2475837838</v>
      </c>
      <c r="F149" s="8">
        <v>717398500</v>
      </c>
      <c r="G149" s="9">
        <v>0.2898</v>
      </c>
      <c r="H149" s="10">
        <v>1.45</v>
      </c>
    </row>
    <row r="150" spans="1:8" x14ac:dyDescent="0.25">
      <c r="A150" s="7" t="s">
        <v>23</v>
      </c>
      <c r="B150" t="s">
        <v>12</v>
      </c>
      <c r="C150" s="1" t="s">
        <v>15</v>
      </c>
      <c r="D150" s="1" t="s">
        <v>10</v>
      </c>
      <c r="E150" s="8">
        <v>2051101918</v>
      </c>
      <c r="F150" s="8">
        <v>1022202839</v>
      </c>
      <c r="G150" s="9">
        <v>0.49840000000000001</v>
      </c>
      <c r="H150" s="10">
        <v>6.23</v>
      </c>
    </row>
    <row r="151" spans="1:8" x14ac:dyDescent="0.25">
      <c r="A151" s="7" t="s">
        <v>23</v>
      </c>
      <c r="B151" t="s">
        <v>21</v>
      </c>
      <c r="C151" s="1">
        <v>0</v>
      </c>
      <c r="D151" s="1" t="s">
        <v>10</v>
      </c>
      <c r="E151" s="8">
        <v>1352998713</v>
      </c>
      <c r="F151" s="8">
        <v>387544257</v>
      </c>
      <c r="G151" s="9">
        <v>0.28639999999999999</v>
      </c>
      <c r="H151" s="10">
        <v>0</v>
      </c>
    </row>
    <row r="152" spans="1:8" x14ac:dyDescent="0.25">
      <c r="A152" s="7" t="s">
        <v>23</v>
      </c>
      <c r="B152" t="s">
        <v>19</v>
      </c>
      <c r="C152" s="1">
        <v>10</v>
      </c>
      <c r="D152" s="1" t="s">
        <v>10</v>
      </c>
      <c r="E152" s="8">
        <v>1211584145</v>
      </c>
      <c r="F152" s="8">
        <v>733872470</v>
      </c>
      <c r="G152" s="9">
        <v>0.60570000000000002</v>
      </c>
      <c r="H152" s="10">
        <v>6.06</v>
      </c>
    </row>
    <row r="153" spans="1:8" x14ac:dyDescent="0.25">
      <c r="A153" s="7" t="s">
        <v>23</v>
      </c>
      <c r="B153" t="s">
        <v>24</v>
      </c>
      <c r="C153" s="1">
        <v>5</v>
      </c>
      <c r="D153" s="1" t="s">
        <v>10</v>
      </c>
      <c r="E153" s="8">
        <v>773770278</v>
      </c>
      <c r="F153" s="8">
        <v>76479550</v>
      </c>
      <c r="G153" s="9">
        <v>9.8799999999999999E-2</v>
      </c>
      <c r="H153" s="10">
        <v>0.49</v>
      </c>
    </row>
    <row r="154" spans="1:8" x14ac:dyDescent="0.25">
      <c r="A154" s="7" t="s">
        <v>23</v>
      </c>
      <c r="B154" t="s">
        <v>22</v>
      </c>
      <c r="C154" s="1">
        <v>10</v>
      </c>
      <c r="D154" s="1" t="s">
        <v>10</v>
      </c>
      <c r="E154" s="8">
        <v>456197076</v>
      </c>
      <c r="F154" s="8">
        <v>76825973</v>
      </c>
      <c r="G154" s="9">
        <v>0.16839999999999999</v>
      </c>
      <c r="H154" s="10">
        <v>1.68</v>
      </c>
    </row>
    <row r="155" spans="1:8" x14ac:dyDescent="0.25">
      <c r="A155" s="7" t="s">
        <v>23</v>
      </c>
      <c r="B155" t="s">
        <v>25</v>
      </c>
      <c r="C155" s="1" t="s">
        <v>26</v>
      </c>
      <c r="D155" s="1" t="s">
        <v>10</v>
      </c>
      <c r="E155" s="8">
        <v>382829717</v>
      </c>
      <c r="F155" s="8">
        <v>379364707</v>
      </c>
      <c r="G155" s="9">
        <v>0.9909</v>
      </c>
      <c r="H155" s="10">
        <v>1.49</v>
      </c>
    </row>
    <row r="156" spans="1:8" x14ac:dyDescent="0.25">
      <c r="A156" s="7" t="s">
        <v>23</v>
      </c>
      <c r="B156" t="s">
        <v>27</v>
      </c>
      <c r="C156" s="1">
        <v>5</v>
      </c>
      <c r="D156" s="1" t="s">
        <v>28</v>
      </c>
      <c r="E156" s="11">
        <v>7731</v>
      </c>
      <c r="F156" s="11">
        <v>315</v>
      </c>
      <c r="G156" s="9">
        <v>4.07E-2</v>
      </c>
      <c r="H156" s="10">
        <v>0.2</v>
      </c>
    </row>
    <row r="157" spans="1:8" x14ac:dyDescent="0.25">
      <c r="A157" s="7" t="s">
        <v>23</v>
      </c>
      <c r="B157" t="s">
        <v>35</v>
      </c>
      <c r="C157" s="1">
        <v>5</v>
      </c>
      <c r="D157" s="1" t="s">
        <v>31</v>
      </c>
      <c r="E157" s="11">
        <v>1166</v>
      </c>
      <c r="F157" s="11">
        <v>23</v>
      </c>
      <c r="G157" s="9">
        <v>1.9699999999999999E-2</v>
      </c>
      <c r="H157" s="10">
        <v>0.1</v>
      </c>
    </row>
    <row r="158" spans="1:8" x14ac:dyDescent="0.25">
      <c r="A158" s="7" t="s">
        <v>23</v>
      </c>
      <c r="B158" t="s">
        <v>32</v>
      </c>
      <c r="C158" s="1">
        <v>5</v>
      </c>
      <c r="D158" s="1" t="s">
        <v>28</v>
      </c>
      <c r="E158" s="11">
        <v>801</v>
      </c>
      <c r="F158" s="11">
        <v>159</v>
      </c>
      <c r="G158" s="9">
        <v>0.1986</v>
      </c>
      <c r="H158" s="10">
        <v>0.99</v>
      </c>
    </row>
    <row r="159" spans="1:8" x14ac:dyDescent="0.25">
      <c r="A159" s="7" t="s">
        <v>23</v>
      </c>
      <c r="B159" t="s">
        <v>37</v>
      </c>
      <c r="C159" s="1">
        <v>5</v>
      </c>
      <c r="D159" s="1" t="s">
        <v>28</v>
      </c>
      <c r="E159" s="11">
        <v>740</v>
      </c>
      <c r="F159" s="11">
        <v>41</v>
      </c>
      <c r="G159" s="9">
        <v>5.5399999999999998E-2</v>
      </c>
      <c r="H159" s="10">
        <v>0.28000000000000003</v>
      </c>
    </row>
    <row r="160" spans="1:8" x14ac:dyDescent="0.25">
      <c r="A160" s="7" t="s">
        <v>23</v>
      </c>
      <c r="B160" t="s">
        <v>33</v>
      </c>
      <c r="C160" s="1">
        <v>5</v>
      </c>
      <c r="D160" s="1" t="s">
        <v>28</v>
      </c>
      <c r="E160" s="11">
        <v>578</v>
      </c>
      <c r="F160" s="11">
        <v>63</v>
      </c>
      <c r="G160" s="9">
        <v>0.1091</v>
      </c>
      <c r="H160" s="10">
        <v>0.55000000000000004</v>
      </c>
    </row>
    <row r="161" spans="1:8" x14ac:dyDescent="0.25">
      <c r="A161" s="7" t="s">
        <v>23</v>
      </c>
      <c r="B161" t="s">
        <v>29</v>
      </c>
      <c r="C161" s="1" t="s">
        <v>30</v>
      </c>
      <c r="D161" s="1" t="s">
        <v>31</v>
      </c>
      <c r="E161" s="11">
        <v>400</v>
      </c>
      <c r="F161" s="11">
        <v>94</v>
      </c>
      <c r="G161" s="9">
        <v>0.23569999999999999</v>
      </c>
      <c r="H161" s="10">
        <v>0.59</v>
      </c>
    </row>
    <row r="162" spans="1:8" x14ac:dyDescent="0.25">
      <c r="A162" s="7" t="s">
        <v>23</v>
      </c>
      <c r="B162" t="s">
        <v>36</v>
      </c>
      <c r="C162" s="1" t="s">
        <v>26</v>
      </c>
      <c r="D162" s="1" t="s">
        <v>31</v>
      </c>
      <c r="E162" s="11">
        <v>150</v>
      </c>
      <c r="F162" s="11">
        <v>94</v>
      </c>
      <c r="G162" s="9">
        <v>0.63060000000000005</v>
      </c>
      <c r="H162" s="10">
        <v>0.95</v>
      </c>
    </row>
    <row r="163" spans="1:8" x14ac:dyDescent="0.25">
      <c r="A163" s="7" t="s">
        <v>23</v>
      </c>
      <c r="B163" t="s">
        <v>34</v>
      </c>
      <c r="C163" s="1" t="s">
        <v>30</v>
      </c>
      <c r="D163" s="1" t="s">
        <v>31</v>
      </c>
      <c r="E163" s="11">
        <v>130</v>
      </c>
      <c r="F163" s="11">
        <v>0</v>
      </c>
      <c r="G163" s="12">
        <v>0</v>
      </c>
      <c r="H163" s="10">
        <v>0</v>
      </c>
    </row>
    <row r="164" spans="1:8" x14ac:dyDescent="0.25">
      <c r="A164" s="7" t="s">
        <v>23</v>
      </c>
      <c r="B164" t="s">
        <v>40</v>
      </c>
      <c r="C164" s="1">
        <v>2</v>
      </c>
      <c r="D164" s="1" t="s">
        <v>41</v>
      </c>
      <c r="E164" s="1">
        <v>78.760000000000005</v>
      </c>
      <c r="F164" s="1">
        <v>89.53</v>
      </c>
      <c r="G164" s="9">
        <v>1.1367</v>
      </c>
      <c r="H164" s="10">
        <v>2.2000000000000002</v>
      </c>
    </row>
    <row r="165" spans="1:8" x14ac:dyDescent="0.25">
      <c r="A165" s="7" t="s">
        <v>23</v>
      </c>
      <c r="B165" t="s">
        <v>38</v>
      </c>
      <c r="C165" s="1">
        <v>5</v>
      </c>
      <c r="D165" s="1" t="s">
        <v>28</v>
      </c>
      <c r="E165" s="1">
        <v>48</v>
      </c>
      <c r="F165" s="1">
        <v>22</v>
      </c>
      <c r="G165" s="9">
        <v>0.45639999999999997</v>
      </c>
      <c r="H165" s="10">
        <v>2.2799999999999998</v>
      </c>
    </row>
    <row r="166" spans="1:8" x14ac:dyDescent="0.25">
      <c r="A166" s="7" t="s">
        <v>23</v>
      </c>
      <c r="B166" t="s">
        <v>39</v>
      </c>
      <c r="C166" s="1" t="s">
        <v>30</v>
      </c>
      <c r="D166" s="1" t="s">
        <v>28</v>
      </c>
      <c r="E166" s="1">
        <v>30</v>
      </c>
      <c r="F166" s="1">
        <v>3</v>
      </c>
      <c r="G166" s="9">
        <v>0.10150000000000001</v>
      </c>
      <c r="H166" s="10">
        <v>0.25</v>
      </c>
    </row>
    <row r="167" spans="1:8" x14ac:dyDescent="0.25">
      <c r="A167" s="7" t="s">
        <v>23</v>
      </c>
      <c r="B167" t="s">
        <v>44</v>
      </c>
      <c r="C167" s="1" t="s">
        <v>45</v>
      </c>
      <c r="D167" s="1" t="s">
        <v>41</v>
      </c>
      <c r="E167" s="1">
        <v>11.04</v>
      </c>
      <c r="F167" s="1">
        <v>27.21</v>
      </c>
      <c r="G167" s="9">
        <v>0.40589999999999998</v>
      </c>
      <c r="H167" s="10">
        <v>1.42</v>
      </c>
    </row>
    <row r="168" spans="1:8" x14ac:dyDescent="0.25">
      <c r="A168" s="7" t="s">
        <v>23</v>
      </c>
      <c r="B168" t="s">
        <v>46</v>
      </c>
      <c r="C168" s="1">
        <v>4</v>
      </c>
      <c r="D168" s="1" t="s">
        <v>41</v>
      </c>
      <c r="E168" s="1">
        <v>2.75</v>
      </c>
      <c r="F168" s="1">
        <v>1</v>
      </c>
      <c r="G168" s="9">
        <v>2.7542</v>
      </c>
      <c r="H168" s="10">
        <v>4.4000000000000004</v>
      </c>
    </row>
    <row r="169" spans="1:8" x14ac:dyDescent="0.25">
      <c r="A169" s="7" t="s">
        <v>23</v>
      </c>
      <c r="B169" t="s">
        <v>47</v>
      </c>
      <c r="C169" s="1" t="s">
        <v>45</v>
      </c>
      <c r="D169" s="1" t="s">
        <v>41</v>
      </c>
      <c r="E169" s="1">
        <v>0.87</v>
      </c>
      <c r="F169" s="1" t="s">
        <v>11</v>
      </c>
      <c r="G169" s="12">
        <v>1.1000000000000001</v>
      </c>
      <c r="H169" s="10">
        <v>3.85</v>
      </c>
    </row>
    <row r="170" spans="1:8" x14ac:dyDescent="0.25">
      <c r="A170" s="7" t="s">
        <v>23</v>
      </c>
      <c r="B170" t="s">
        <v>48</v>
      </c>
      <c r="C170" s="1">
        <v>4</v>
      </c>
      <c r="D170" s="1" t="s">
        <v>41</v>
      </c>
      <c r="E170" s="1">
        <v>0.31</v>
      </c>
      <c r="F170" s="1" t="s">
        <v>11</v>
      </c>
      <c r="G170" s="12">
        <v>1.1000000000000001</v>
      </c>
      <c r="H170" s="10">
        <v>4.4000000000000004</v>
      </c>
    </row>
    <row r="171" spans="1:8" x14ac:dyDescent="0.25">
      <c r="A171" s="7" t="s">
        <v>23</v>
      </c>
      <c r="B171" t="s">
        <v>42</v>
      </c>
      <c r="C171" s="1">
        <v>0</v>
      </c>
      <c r="D171" s="1" t="s">
        <v>41</v>
      </c>
      <c r="E171" s="1" t="s">
        <v>11</v>
      </c>
      <c r="F171" s="1" t="s">
        <v>11</v>
      </c>
      <c r="G171" s="12">
        <v>1.1000000000000001</v>
      </c>
      <c r="H171" s="10">
        <v>0</v>
      </c>
    </row>
    <row r="172" spans="1:8" x14ac:dyDescent="0.25">
      <c r="A172" s="7" t="s">
        <v>23</v>
      </c>
      <c r="B172" t="s">
        <v>43</v>
      </c>
      <c r="C172" s="1">
        <v>0</v>
      </c>
      <c r="D172" s="1" t="s">
        <v>41</v>
      </c>
      <c r="E172" s="1" t="s">
        <v>11</v>
      </c>
      <c r="F172" s="1" t="s">
        <v>11</v>
      </c>
      <c r="G172" s="12">
        <v>1.1000000000000001</v>
      </c>
      <c r="H172" s="10">
        <v>0</v>
      </c>
    </row>
    <row r="173" spans="1:8" x14ac:dyDescent="0.25">
      <c r="A173" s="7" t="s">
        <v>23</v>
      </c>
      <c r="B173" t="s">
        <v>17</v>
      </c>
      <c r="C173" s="1">
        <v>0</v>
      </c>
      <c r="D173" s="1" t="s">
        <v>10</v>
      </c>
      <c r="E173" s="1" t="s">
        <v>11</v>
      </c>
      <c r="F173" s="1" t="s">
        <v>11</v>
      </c>
      <c r="G173" s="12">
        <v>0</v>
      </c>
      <c r="H173" s="10">
        <v>0</v>
      </c>
    </row>
    <row r="174" spans="1:8" x14ac:dyDescent="0.25">
      <c r="A174" s="13"/>
      <c r="B174" s="14"/>
      <c r="C174" s="15"/>
      <c r="D174" s="15"/>
      <c r="E174" s="14"/>
      <c r="F174" s="14"/>
      <c r="G174" s="15"/>
      <c r="H174" s="16">
        <f>SUM(H149:H173)</f>
        <v>39.86</v>
      </c>
    </row>
  </sheetData>
  <sortState xmlns:xlrd2="http://schemas.microsoft.com/office/spreadsheetml/2017/richdata2" ref="A2:H173">
    <sortCondition ref="A4:A173"/>
  </sortState>
  <mergeCells count="6">
    <mergeCell ref="A147:H147"/>
    <mergeCell ref="A2:H2"/>
    <mergeCell ref="A31:H31"/>
    <mergeCell ref="A60:H60"/>
    <mergeCell ref="A89:H89"/>
    <mergeCell ref="A118:H1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 KPI KANWIL SURABAYA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PEGADAIAN</dc:creator>
  <cp:lastModifiedBy>Poj 2023</cp:lastModifiedBy>
  <dcterms:created xsi:type="dcterms:W3CDTF">2026-05-22T08:30:00Z</dcterms:created>
  <dcterms:modified xsi:type="dcterms:W3CDTF">2026-07-03T02:44:08Z</dcterms:modified>
</cp:coreProperties>
</file>