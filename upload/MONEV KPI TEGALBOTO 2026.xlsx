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jsb\OneDrive\Desktop\KPI TEGALBOTO\"/>
    </mc:Choice>
  </mc:AlternateContent>
  <xr:revisionPtr revIDLastSave="0" documentId="13_ncr:1_{9A0D1D26-BE03-448A-B333-CE0E29F76A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" sheetId="1" r:id="rId1"/>
    <sheet name="KONSOL" sheetId="2" r:id="rId2"/>
    <sheet name="TEGALBOTO" sheetId="4" r:id="rId3"/>
    <sheet name="BASUKI RAHMAD" sheetId="3" r:id="rId4"/>
    <sheet name="S PARMAN" sheetId="5" r:id="rId5"/>
    <sheet name="KALISAT " sheetId="6" r:id="rId6"/>
    <sheet name="MAYANG" sheetId="9" r:id="rId7"/>
    <sheet name="COLO SUMBERJATI" sheetId="10" r:id="rId8"/>
    <sheet name="REKAP" sheetId="7" r:id="rId9"/>
  </sheets>
  <definedNames>
    <definedName name="_xlnm.Print_Area" localSheetId="3">'BASUKI RAHMAD'!$A$1:$R$33</definedName>
    <definedName name="_xlnm.Print_Area" localSheetId="7">'COLO SUMBERJATI'!$A$1:$R$33</definedName>
    <definedName name="_xlnm.Print_Area" localSheetId="5">'KALISAT '!$A$1:$R$33</definedName>
    <definedName name="_xlnm.Print_Area" localSheetId="1">KONSOL!$A$1:$R$33</definedName>
    <definedName name="_xlnm.Print_Area" localSheetId="6">MAYANG!$A$1:$R$33</definedName>
    <definedName name="_xlnm.Print_Area" localSheetId="8">REKAP!$A$1:$AG$33</definedName>
    <definedName name="_xlnm.Print_Area" localSheetId="4">'S PARMAN'!$A$1:$R$33</definedName>
    <definedName name="_xlnm.Print_Area" localSheetId="2">TEGALBOTO!$A$1:$R$33</definedName>
  </definedNames>
  <calcPr calcId="191028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1" i="1" l="1"/>
  <c r="Q31" i="1"/>
  <c r="R31" i="1"/>
  <c r="S31" i="1"/>
  <c r="T31" i="1"/>
  <c r="U31" i="1"/>
  <c r="O31" i="1"/>
  <c r="J6" i="10"/>
  <c r="AE6" i="7" s="1"/>
  <c r="J7" i="10"/>
  <c r="AE7" i="7" s="1"/>
  <c r="J8" i="10"/>
  <c r="AE8" i="7" s="1"/>
  <c r="J9" i="10"/>
  <c r="AE9" i="7" s="1"/>
  <c r="J10" i="10"/>
  <c r="AE10" i="7" s="1"/>
  <c r="J11" i="10"/>
  <c r="J12" i="10"/>
  <c r="J13" i="10"/>
  <c r="J14" i="10"/>
  <c r="AE14" i="7" s="1"/>
  <c r="J15" i="10"/>
  <c r="AE15" i="7" s="1"/>
  <c r="J16" i="10"/>
  <c r="J17" i="10"/>
  <c r="AE17" i="7" s="1"/>
  <c r="J18" i="10"/>
  <c r="AE18" i="7" s="1"/>
  <c r="J19" i="10"/>
  <c r="J20" i="10"/>
  <c r="AE20" i="7" s="1"/>
  <c r="J21" i="10"/>
  <c r="J22" i="10"/>
  <c r="AE22" i="7" s="1"/>
  <c r="J23" i="10"/>
  <c r="J24" i="10"/>
  <c r="AE24" i="7" s="1"/>
  <c r="J25" i="10"/>
  <c r="AE25" i="7" s="1"/>
  <c r="J26" i="10"/>
  <c r="AE26" i="7" s="1"/>
  <c r="J27" i="10"/>
  <c r="AE27" i="7" s="1"/>
  <c r="J28" i="10"/>
  <c r="AE28" i="7" s="1"/>
  <c r="J29" i="10"/>
  <c r="J30" i="10"/>
  <c r="J31" i="10"/>
  <c r="AE31" i="7" s="1"/>
  <c r="J5" i="10"/>
  <c r="AE5" i="7" s="1"/>
  <c r="J6" i="9"/>
  <c r="AA6" i="7" s="1"/>
  <c r="J7" i="9"/>
  <c r="AA7" i="7" s="1"/>
  <c r="J8" i="9"/>
  <c r="J9" i="9"/>
  <c r="AA9" i="7" s="1"/>
  <c r="J10" i="9"/>
  <c r="J11" i="9"/>
  <c r="AA11" i="7" s="1"/>
  <c r="J12" i="9"/>
  <c r="J13" i="9"/>
  <c r="AA13" i="7" s="1"/>
  <c r="J14" i="9"/>
  <c r="J15" i="9"/>
  <c r="J16" i="9"/>
  <c r="AA16" i="7" s="1"/>
  <c r="J17" i="9"/>
  <c r="AA17" i="7" s="1"/>
  <c r="J18" i="9"/>
  <c r="J19" i="9"/>
  <c r="AA19" i="7" s="1"/>
  <c r="J20" i="9"/>
  <c r="AA20" i="7" s="1"/>
  <c r="J21" i="9"/>
  <c r="J22" i="9"/>
  <c r="AA22" i="7" s="1"/>
  <c r="J23" i="9"/>
  <c r="J24" i="9"/>
  <c r="J25" i="9"/>
  <c r="AA25" i="7" s="1"/>
  <c r="J26" i="9"/>
  <c r="AA26" i="7" s="1"/>
  <c r="J27" i="9"/>
  <c r="AA27" i="7" s="1"/>
  <c r="J28" i="9"/>
  <c r="AA28" i="7" s="1"/>
  <c r="J29" i="9"/>
  <c r="AA29" i="7" s="1"/>
  <c r="J30" i="9"/>
  <c r="AA30" i="7" s="1"/>
  <c r="J31" i="9"/>
  <c r="AA31" i="7" s="1"/>
  <c r="J5" i="9"/>
  <c r="E10" i="7"/>
  <c r="E21" i="7"/>
  <c r="E7" i="10"/>
  <c r="E8" i="10"/>
  <c r="E9" i="10"/>
  <c r="E11" i="10"/>
  <c r="E12" i="10"/>
  <c r="E13" i="10"/>
  <c r="E14" i="10"/>
  <c r="E15" i="10"/>
  <c r="E17" i="10"/>
  <c r="E18" i="10"/>
  <c r="E20" i="10"/>
  <c r="E22" i="10"/>
  <c r="E23" i="10"/>
  <c r="E24" i="10"/>
  <c r="E25" i="10"/>
  <c r="E26" i="10"/>
  <c r="E27" i="10"/>
  <c r="E28" i="10"/>
  <c r="E29" i="10"/>
  <c r="E30" i="10"/>
  <c r="E5" i="10"/>
  <c r="E7" i="9"/>
  <c r="E8" i="9"/>
  <c r="E9" i="9"/>
  <c r="E11" i="9"/>
  <c r="E12" i="9"/>
  <c r="E13" i="9"/>
  <c r="E14" i="9"/>
  <c r="E15" i="9"/>
  <c r="E16" i="9"/>
  <c r="E17" i="9"/>
  <c r="E18" i="9"/>
  <c r="E19" i="9"/>
  <c r="E20" i="9"/>
  <c r="E22" i="9"/>
  <c r="E23" i="9"/>
  <c r="E24" i="9"/>
  <c r="E25" i="9"/>
  <c r="E26" i="9"/>
  <c r="E27" i="9"/>
  <c r="E28" i="9"/>
  <c r="E29" i="9"/>
  <c r="E30" i="9"/>
  <c r="E5" i="9"/>
  <c r="E6" i="6"/>
  <c r="E7" i="6"/>
  <c r="E8" i="6"/>
  <c r="E9" i="6"/>
  <c r="E11" i="6"/>
  <c r="E12" i="6"/>
  <c r="E13" i="6"/>
  <c r="E14" i="6"/>
  <c r="E15" i="6"/>
  <c r="E16" i="6"/>
  <c r="E17" i="6"/>
  <c r="E18" i="6"/>
  <c r="E19" i="6"/>
  <c r="E20" i="6"/>
  <c r="E22" i="6"/>
  <c r="E23" i="6"/>
  <c r="E24" i="6"/>
  <c r="E25" i="6"/>
  <c r="E26" i="6"/>
  <c r="E27" i="6"/>
  <c r="E28" i="6"/>
  <c r="E29" i="6"/>
  <c r="E30" i="6"/>
  <c r="E5" i="6"/>
  <c r="E7" i="5"/>
  <c r="E8" i="5"/>
  <c r="E9" i="5"/>
  <c r="E11" i="5"/>
  <c r="E12" i="5"/>
  <c r="E13" i="5"/>
  <c r="E14" i="5"/>
  <c r="E15" i="5"/>
  <c r="E16" i="5"/>
  <c r="E17" i="5"/>
  <c r="E18" i="5"/>
  <c r="E19" i="5"/>
  <c r="E20" i="5"/>
  <c r="E22" i="5"/>
  <c r="E23" i="5"/>
  <c r="E24" i="5"/>
  <c r="E25" i="5"/>
  <c r="E26" i="5"/>
  <c r="E27" i="5"/>
  <c r="E28" i="5"/>
  <c r="E29" i="5"/>
  <c r="E30" i="5"/>
  <c r="E5" i="5"/>
  <c r="E7" i="3"/>
  <c r="E8" i="3"/>
  <c r="E9" i="3"/>
  <c r="E11" i="3"/>
  <c r="E12" i="3"/>
  <c r="E13" i="3"/>
  <c r="E14" i="3"/>
  <c r="E15" i="3"/>
  <c r="E16" i="3"/>
  <c r="E17" i="3"/>
  <c r="E18" i="3"/>
  <c r="E19" i="3"/>
  <c r="E20" i="3"/>
  <c r="E22" i="3"/>
  <c r="E23" i="3"/>
  <c r="E24" i="3"/>
  <c r="E25" i="3"/>
  <c r="E26" i="3"/>
  <c r="E27" i="3"/>
  <c r="E28" i="3"/>
  <c r="E29" i="3"/>
  <c r="E30" i="3"/>
  <c r="E5" i="3"/>
  <c r="E6" i="4"/>
  <c r="E7" i="4"/>
  <c r="E8" i="4"/>
  <c r="E9" i="4"/>
  <c r="E11" i="4"/>
  <c r="E12" i="4"/>
  <c r="E13" i="4"/>
  <c r="E14" i="4"/>
  <c r="E15" i="4"/>
  <c r="E16" i="4"/>
  <c r="E17" i="4"/>
  <c r="E18" i="4"/>
  <c r="E19" i="4"/>
  <c r="E20" i="4"/>
  <c r="E22" i="4"/>
  <c r="E23" i="4"/>
  <c r="E24" i="4"/>
  <c r="E25" i="4"/>
  <c r="E26" i="4"/>
  <c r="E27" i="4"/>
  <c r="E28" i="4"/>
  <c r="E29" i="4"/>
  <c r="E30" i="4"/>
  <c r="E5" i="4"/>
  <c r="E6" i="2"/>
  <c r="E6" i="7" s="1"/>
  <c r="E7" i="2"/>
  <c r="E7" i="7" s="1"/>
  <c r="E8" i="2"/>
  <c r="E8" i="7" s="1"/>
  <c r="E9" i="2"/>
  <c r="E9" i="7" s="1"/>
  <c r="E11" i="2"/>
  <c r="E11" i="7" s="1"/>
  <c r="E12" i="2"/>
  <c r="E12" i="7" s="1"/>
  <c r="E13" i="2"/>
  <c r="E13" i="7" s="1"/>
  <c r="E14" i="2"/>
  <c r="E14" i="7" s="1"/>
  <c r="E15" i="2"/>
  <c r="E15" i="7" s="1"/>
  <c r="E16" i="2"/>
  <c r="E16" i="7" s="1"/>
  <c r="E17" i="2"/>
  <c r="E17" i="7" s="1"/>
  <c r="E18" i="2"/>
  <c r="E18" i="7" s="1"/>
  <c r="E19" i="2"/>
  <c r="E19" i="7" s="1"/>
  <c r="E20" i="2"/>
  <c r="E20" i="7" s="1"/>
  <c r="E22" i="2"/>
  <c r="E22" i="7" s="1"/>
  <c r="E23" i="2"/>
  <c r="E23" i="7" s="1"/>
  <c r="E24" i="2"/>
  <c r="E24" i="7" s="1"/>
  <c r="E25" i="2"/>
  <c r="E25" i="7" s="1"/>
  <c r="E26" i="2"/>
  <c r="E26" i="7" s="1"/>
  <c r="E27" i="2"/>
  <c r="E27" i="7" s="1"/>
  <c r="E28" i="2"/>
  <c r="E28" i="7" s="1"/>
  <c r="E29" i="2"/>
  <c r="E29" i="7" s="1"/>
  <c r="E30" i="2"/>
  <c r="E30" i="7" s="1"/>
  <c r="E5" i="2"/>
  <c r="K6" i="10"/>
  <c r="AF6" i="7" s="1"/>
  <c r="K7" i="10"/>
  <c r="K8" i="10"/>
  <c r="K9" i="10"/>
  <c r="K10" i="10"/>
  <c r="K11" i="10"/>
  <c r="AF11" i="7" s="1"/>
  <c r="K12" i="10"/>
  <c r="AF12" i="7" s="1"/>
  <c r="K13" i="10"/>
  <c r="AF13" i="7" s="1"/>
  <c r="K14" i="10"/>
  <c r="AF14" i="7" s="1"/>
  <c r="K15" i="10"/>
  <c r="AF15" i="7" s="1"/>
  <c r="K16" i="10"/>
  <c r="AF16" i="7" s="1"/>
  <c r="AG16" i="7" s="1"/>
  <c r="K17" i="10"/>
  <c r="AF17" i="7" s="1"/>
  <c r="K18" i="10"/>
  <c r="AF18" i="7" s="1"/>
  <c r="K19" i="10"/>
  <c r="AF19" i="7" s="1"/>
  <c r="K20" i="10"/>
  <c r="AF20" i="7" s="1"/>
  <c r="K21" i="10"/>
  <c r="AF21" i="7" s="1"/>
  <c r="K22" i="10"/>
  <c r="AF22" i="7" s="1"/>
  <c r="K23" i="10"/>
  <c r="AF23" i="7" s="1"/>
  <c r="K24" i="10"/>
  <c r="AF24" i="7" s="1"/>
  <c r="K25" i="10"/>
  <c r="AF25" i="7" s="1"/>
  <c r="K26" i="10"/>
  <c r="AF26" i="7" s="1"/>
  <c r="K27" i="10"/>
  <c r="AF27" i="7" s="1"/>
  <c r="K28" i="10"/>
  <c r="AF28" i="7" s="1"/>
  <c r="K29" i="10"/>
  <c r="AF29" i="7" s="1"/>
  <c r="K30" i="10"/>
  <c r="AF30" i="7" s="1"/>
  <c r="K31" i="10"/>
  <c r="AF31" i="7" s="1"/>
  <c r="K5" i="10"/>
  <c r="AF5" i="7" s="1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R21" i="10" s="1"/>
  <c r="H22" i="10"/>
  <c r="H23" i="10"/>
  <c r="H24" i="10"/>
  <c r="H25" i="10"/>
  <c r="H26" i="10"/>
  <c r="H27" i="10"/>
  <c r="H28" i="10"/>
  <c r="H29" i="10"/>
  <c r="H30" i="10"/>
  <c r="H31" i="10"/>
  <c r="H5" i="10"/>
  <c r="K6" i="9"/>
  <c r="AB6" i="7" s="1"/>
  <c r="K7" i="9"/>
  <c r="AB7" i="7" s="1"/>
  <c r="K8" i="9"/>
  <c r="AB8" i="7" s="1"/>
  <c r="K9" i="9"/>
  <c r="AB9" i="7" s="1"/>
  <c r="K10" i="9"/>
  <c r="AB10" i="7" s="1"/>
  <c r="K11" i="9"/>
  <c r="AB11" i="7" s="1"/>
  <c r="K12" i="9"/>
  <c r="AB12" i="7" s="1"/>
  <c r="K13" i="9"/>
  <c r="AB13" i="7" s="1"/>
  <c r="K14" i="9"/>
  <c r="AB14" i="7" s="1"/>
  <c r="K15" i="9"/>
  <c r="AB15" i="7" s="1"/>
  <c r="K16" i="9"/>
  <c r="AB16" i="7" s="1"/>
  <c r="K17" i="9"/>
  <c r="AB17" i="7" s="1"/>
  <c r="K18" i="9"/>
  <c r="AB18" i="7" s="1"/>
  <c r="K19" i="9"/>
  <c r="AB19" i="7" s="1"/>
  <c r="K20" i="9"/>
  <c r="AB20" i="7" s="1"/>
  <c r="K21" i="9"/>
  <c r="AB21" i="7" s="1"/>
  <c r="K22" i="9"/>
  <c r="AB22" i="7" s="1"/>
  <c r="K23" i="9"/>
  <c r="AB23" i="7" s="1"/>
  <c r="K24" i="9"/>
  <c r="AB24" i="7" s="1"/>
  <c r="K25" i="9"/>
  <c r="AB25" i="7" s="1"/>
  <c r="K26" i="9"/>
  <c r="AB26" i="7" s="1"/>
  <c r="K27" i="9"/>
  <c r="AB27" i="7" s="1"/>
  <c r="K28" i="9"/>
  <c r="AB28" i="7" s="1"/>
  <c r="K29" i="9"/>
  <c r="AB29" i="7" s="1"/>
  <c r="K30" i="9"/>
  <c r="AB30" i="7" s="1"/>
  <c r="K31" i="9"/>
  <c r="AB31" i="7" s="1"/>
  <c r="K5" i="9"/>
  <c r="AB5" i="7" s="1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R21" i="9" s="1"/>
  <c r="H22" i="9"/>
  <c r="H23" i="9"/>
  <c r="H24" i="9"/>
  <c r="H25" i="9"/>
  <c r="H26" i="9"/>
  <c r="H27" i="9"/>
  <c r="H28" i="9"/>
  <c r="H29" i="9"/>
  <c r="H30" i="9"/>
  <c r="H31" i="9"/>
  <c r="H5" i="9"/>
  <c r="F6" i="10"/>
  <c r="G6" i="10" s="1"/>
  <c r="F7" i="10"/>
  <c r="G7" i="10" s="1"/>
  <c r="F8" i="10"/>
  <c r="G8" i="10" s="1"/>
  <c r="F9" i="10"/>
  <c r="G9" i="10" s="1"/>
  <c r="F10" i="10"/>
  <c r="G10" i="10" s="1"/>
  <c r="F11" i="10"/>
  <c r="G11" i="10" s="1"/>
  <c r="F12" i="10"/>
  <c r="G12" i="10" s="1"/>
  <c r="F13" i="10"/>
  <c r="G13" i="10" s="1"/>
  <c r="F14" i="10"/>
  <c r="G14" i="10" s="1"/>
  <c r="F15" i="10"/>
  <c r="G15" i="10" s="1"/>
  <c r="F16" i="10"/>
  <c r="G16" i="10" s="1"/>
  <c r="F17" i="10"/>
  <c r="G17" i="10" s="1"/>
  <c r="F18" i="10"/>
  <c r="G18" i="10" s="1"/>
  <c r="F19" i="10"/>
  <c r="G19" i="10" s="1"/>
  <c r="F20" i="10"/>
  <c r="F21" i="10"/>
  <c r="F22" i="10"/>
  <c r="G22" i="10" s="1"/>
  <c r="F23" i="10"/>
  <c r="F24" i="10"/>
  <c r="F25" i="10"/>
  <c r="F26" i="10"/>
  <c r="F27" i="10"/>
  <c r="G27" i="10" s="1"/>
  <c r="F28" i="10"/>
  <c r="F29" i="10"/>
  <c r="F30" i="10"/>
  <c r="G30" i="10" s="1"/>
  <c r="F31" i="10"/>
  <c r="F5" i="10"/>
  <c r="G5" i="10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F17" i="9"/>
  <c r="G17" i="9" s="1"/>
  <c r="F18" i="9"/>
  <c r="F19" i="9"/>
  <c r="G19" i="9" s="1"/>
  <c r="F20" i="9"/>
  <c r="F21" i="9"/>
  <c r="F22" i="9"/>
  <c r="G22" i="9" s="1"/>
  <c r="F23" i="9"/>
  <c r="G23" i="9" s="1"/>
  <c r="F24" i="9"/>
  <c r="G24" i="9" s="1"/>
  <c r="F25" i="9"/>
  <c r="F26" i="9"/>
  <c r="G26" i="9" s="1"/>
  <c r="F27" i="9"/>
  <c r="G27" i="9" s="1"/>
  <c r="F28" i="9"/>
  <c r="G28" i="9" s="1"/>
  <c r="F29" i="9"/>
  <c r="G29" i="9" s="1"/>
  <c r="F30" i="9"/>
  <c r="F31" i="9"/>
  <c r="F5" i="9"/>
  <c r="G5" i="9" s="1"/>
  <c r="F6" i="6"/>
  <c r="G6" i="6" s="1"/>
  <c r="F7" i="6"/>
  <c r="G7" i="6" s="1"/>
  <c r="F8" i="6"/>
  <c r="G8" i="6" s="1"/>
  <c r="F9" i="6"/>
  <c r="G9" i="6" s="1"/>
  <c r="F10" i="6"/>
  <c r="F11" i="6"/>
  <c r="G11" i="6" s="1"/>
  <c r="F12" i="6"/>
  <c r="G12" i="6" s="1"/>
  <c r="F13" i="6"/>
  <c r="G13" i="6" s="1"/>
  <c r="F14" i="6"/>
  <c r="G14" i="6" s="1"/>
  <c r="F15" i="6"/>
  <c r="G15" i="6" s="1"/>
  <c r="F16" i="6"/>
  <c r="G16" i="6" s="1"/>
  <c r="F17" i="6"/>
  <c r="G17" i="6" s="1"/>
  <c r="F18" i="6"/>
  <c r="F19" i="6"/>
  <c r="F20" i="6"/>
  <c r="G20" i="6" s="1"/>
  <c r="F21" i="6"/>
  <c r="F22" i="6"/>
  <c r="G22" i="6" s="1"/>
  <c r="F23" i="6"/>
  <c r="G23" i="6" s="1"/>
  <c r="F24" i="6"/>
  <c r="G24" i="6" s="1"/>
  <c r="F25" i="6"/>
  <c r="F26" i="6"/>
  <c r="G26" i="6" s="1"/>
  <c r="F27" i="6"/>
  <c r="G27" i="6" s="1"/>
  <c r="F28" i="6"/>
  <c r="F29" i="6"/>
  <c r="F30" i="6"/>
  <c r="G30" i="6" s="1"/>
  <c r="F31" i="6"/>
  <c r="F5" i="6"/>
  <c r="F6" i="5"/>
  <c r="F7" i="5"/>
  <c r="G7" i="5" s="1"/>
  <c r="F8" i="5"/>
  <c r="G8" i="5" s="1"/>
  <c r="F9" i="5"/>
  <c r="G9" i="5" s="1"/>
  <c r="F10" i="5"/>
  <c r="G10" i="5" s="1"/>
  <c r="R10" i="5" s="1"/>
  <c r="F11" i="5"/>
  <c r="G11" i="5" s="1"/>
  <c r="F12" i="5"/>
  <c r="G12" i="5" s="1"/>
  <c r="F13" i="5"/>
  <c r="G13" i="5" s="1"/>
  <c r="F14" i="5"/>
  <c r="F15" i="5"/>
  <c r="G15" i="5" s="1"/>
  <c r="F16" i="5"/>
  <c r="F17" i="5"/>
  <c r="G17" i="5" s="1"/>
  <c r="F18" i="5"/>
  <c r="G18" i="5" s="1"/>
  <c r="F19" i="5"/>
  <c r="F20" i="5"/>
  <c r="G20" i="5" s="1"/>
  <c r="F21" i="5"/>
  <c r="F22" i="5"/>
  <c r="F23" i="5"/>
  <c r="G23" i="5" s="1"/>
  <c r="F24" i="5"/>
  <c r="G24" i="5" s="1"/>
  <c r="F25" i="5"/>
  <c r="G25" i="5" s="1"/>
  <c r="F26" i="5"/>
  <c r="F27" i="5"/>
  <c r="G27" i="5" s="1"/>
  <c r="F28" i="5"/>
  <c r="G28" i="5" s="1"/>
  <c r="F29" i="5"/>
  <c r="G29" i="5" s="1"/>
  <c r="F30" i="5"/>
  <c r="F31" i="5"/>
  <c r="G31" i="5" s="1"/>
  <c r="F5" i="5"/>
  <c r="F6" i="3"/>
  <c r="F7" i="3"/>
  <c r="G7" i="3" s="1"/>
  <c r="F8" i="3"/>
  <c r="F9" i="3"/>
  <c r="G9" i="3" s="1"/>
  <c r="F10" i="3"/>
  <c r="F11" i="3"/>
  <c r="G11" i="3" s="1"/>
  <c r="F12" i="3"/>
  <c r="G12" i="3" s="1"/>
  <c r="F13" i="3"/>
  <c r="G13" i="3" s="1"/>
  <c r="F14" i="3"/>
  <c r="G14" i="3" s="1"/>
  <c r="F15" i="3"/>
  <c r="G15" i="3" s="1"/>
  <c r="F16" i="3"/>
  <c r="G16" i="3" s="1"/>
  <c r="F17" i="3"/>
  <c r="G17" i="3" s="1"/>
  <c r="F18" i="3"/>
  <c r="G18" i="3" s="1"/>
  <c r="F19" i="3"/>
  <c r="G19" i="3" s="1"/>
  <c r="F20" i="3"/>
  <c r="G20" i="3" s="1"/>
  <c r="F21" i="3"/>
  <c r="F22" i="3"/>
  <c r="G22" i="3" s="1"/>
  <c r="F23" i="3"/>
  <c r="G23" i="3" s="1"/>
  <c r="F24" i="3"/>
  <c r="G24" i="3" s="1"/>
  <c r="F25" i="3"/>
  <c r="F26" i="3"/>
  <c r="G26" i="3" s="1"/>
  <c r="F27" i="3"/>
  <c r="F28" i="3"/>
  <c r="G28" i="3" s="1"/>
  <c r="F29" i="3"/>
  <c r="G29" i="3" s="1"/>
  <c r="F30" i="3"/>
  <c r="G30" i="3" s="1"/>
  <c r="F31" i="3"/>
  <c r="F5" i="3"/>
  <c r="G5" i="3" s="1"/>
  <c r="F6" i="4"/>
  <c r="G6" i="4" s="1"/>
  <c r="F7" i="4"/>
  <c r="G7" i="4" s="1"/>
  <c r="F8" i="4"/>
  <c r="G8" i="4" s="1"/>
  <c r="F9" i="4"/>
  <c r="G9" i="4" s="1"/>
  <c r="F10" i="4"/>
  <c r="F11" i="4"/>
  <c r="G11" i="4" s="1"/>
  <c r="F12" i="4"/>
  <c r="G12" i="4" s="1"/>
  <c r="F13" i="4"/>
  <c r="F14" i="4"/>
  <c r="G14" i="4" s="1"/>
  <c r="F15" i="4"/>
  <c r="G15" i="4" s="1"/>
  <c r="F16" i="4"/>
  <c r="F17" i="4"/>
  <c r="F18" i="4"/>
  <c r="F19" i="4"/>
  <c r="F20" i="4"/>
  <c r="G20" i="4" s="1"/>
  <c r="F21" i="4"/>
  <c r="F22" i="4"/>
  <c r="G22" i="4" s="1"/>
  <c r="F23" i="4"/>
  <c r="F24" i="4"/>
  <c r="G24" i="4" s="1"/>
  <c r="F25" i="4"/>
  <c r="G25" i="4" s="1"/>
  <c r="F26" i="4"/>
  <c r="G26" i="4" s="1"/>
  <c r="F27" i="4"/>
  <c r="G27" i="4" s="1"/>
  <c r="F28" i="4"/>
  <c r="G28" i="4" s="1"/>
  <c r="F29" i="4"/>
  <c r="F30" i="4"/>
  <c r="G30" i="4" s="1"/>
  <c r="F31" i="4"/>
  <c r="F5" i="4"/>
  <c r="G5" i="4" s="1"/>
  <c r="F6" i="2"/>
  <c r="G6" i="2" s="1"/>
  <c r="F7" i="2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F15" i="2"/>
  <c r="F16" i="2"/>
  <c r="F17" i="2"/>
  <c r="G17" i="2" s="1"/>
  <c r="F18" i="2"/>
  <c r="F19" i="2"/>
  <c r="G19" i="2" s="1"/>
  <c r="F20" i="2"/>
  <c r="F21" i="2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F31" i="2"/>
  <c r="F5" i="2"/>
  <c r="G5" i="2" s="1"/>
  <c r="K211" i="1"/>
  <c r="D211" i="1"/>
  <c r="D181" i="1"/>
  <c r="D151" i="1"/>
  <c r="D121" i="1"/>
  <c r="D91" i="1"/>
  <c r="D60" i="1"/>
  <c r="D30" i="1"/>
  <c r="K181" i="1"/>
  <c r="A2" i="2"/>
  <c r="A2" i="4" s="1"/>
  <c r="J6" i="6"/>
  <c r="W6" i="7" s="1"/>
  <c r="J7" i="6"/>
  <c r="W7" i="7" s="1"/>
  <c r="J8" i="6"/>
  <c r="W8" i="7" s="1"/>
  <c r="J9" i="6"/>
  <c r="W9" i="7" s="1"/>
  <c r="J10" i="6"/>
  <c r="W10" i="7" s="1"/>
  <c r="J11" i="6"/>
  <c r="W11" i="7" s="1"/>
  <c r="J12" i="6"/>
  <c r="W12" i="7" s="1"/>
  <c r="J13" i="6"/>
  <c r="W13" i="7" s="1"/>
  <c r="J14" i="6"/>
  <c r="W14" i="7" s="1"/>
  <c r="J15" i="6"/>
  <c r="W15" i="7" s="1"/>
  <c r="J16" i="6"/>
  <c r="W16" i="7" s="1"/>
  <c r="J17" i="6"/>
  <c r="W17" i="7" s="1"/>
  <c r="J18" i="6"/>
  <c r="W18" i="7" s="1"/>
  <c r="J19" i="6"/>
  <c r="W19" i="7" s="1"/>
  <c r="J20" i="6"/>
  <c r="W20" i="7" s="1"/>
  <c r="J21" i="6"/>
  <c r="W21" i="7" s="1"/>
  <c r="J22" i="6"/>
  <c r="W22" i="7" s="1"/>
  <c r="J23" i="6"/>
  <c r="W23" i="7" s="1"/>
  <c r="J24" i="6"/>
  <c r="W24" i="7" s="1"/>
  <c r="J25" i="6"/>
  <c r="W25" i="7" s="1"/>
  <c r="J26" i="6"/>
  <c r="W26" i="7" s="1"/>
  <c r="J27" i="6"/>
  <c r="W27" i="7" s="1"/>
  <c r="J28" i="6"/>
  <c r="W28" i="7" s="1"/>
  <c r="J29" i="6"/>
  <c r="W29" i="7" s="1"/>
  <c r="J30" i="6"/>
  <c r="W30" i="7" s="1"/>
  <c r="J31" i="6"/>
  <c r="W31" i="7" s="1"/>
  <c r="J5" i="6"/>
  <c r="W5" i="7" s="1"/>
  <c r="S6" i="7"/>
  <c r="J7" i="5"/>
  <c r="S7" i="7" s="1"/>
  <c r="J8" i="5"/>
  <c r="S8" i="7" s="1"/>
  <c r="J9" i="5"/>
  <c r="S9" i="7" s="1"/>
  <c r="J10" i="5"/>
  <c r="S10" i="7" s="1"/>
  <c r="J11" i="5"/>
  <c r="S11" i="7" s="1"/>
  <c r="J12" i="5"/>
  <c r="S12" i="7" s="1"/>
  <c r="J13" i="5"/>
  <c r="S13" i="7" s="1"/>
  <c r="J14" i="5"/>
  <c r="S14" i="7" s="1"/>
  <c r="J15" i="5"/>
  <c r="S15" i="7" s="1"/>
  <c r="J16" i="5"/>
  <c r="S16" i="7" s="1"/>
  <c r="J17" i="5"/>
  <c r="S17" i="7" s="1"/>
  <c r="J18" i="5"/>
  <c r="S18" i="7" s="1"/>
  <c r="J19" i="5"/>
  <c r="S19" i="7" s="1"/>
  <c r="J20" i="5"/>
  <c r="S20" i="7" s="1"/>
  <c r="J21" i="5"/>
  <c r="S21" i="7" s="1"/>
  <c r="J22" i="5"/>
  <c r="S22" i="7" s="1"/>
  <c r="J23" i="5"/>
  <c r="S23" i="7" s="1"/>
  <c r="J24" i="5"/>
  <c r="S24" i="7" s="1"/>
  <c r="J25" i="5"/>
  <c r="S25" i="7" s="1"/>
  <c r="J26" i="5"/>
  <c r="S26" i="7" s="1"/>
  <c r="J27" i="5"/>
  <c r="S27" i="7" s="1"/>
  <c r="J28" i="5"/>
  <c r="S28" i="7" s="1"/>
  <c r="J29" i="5"/>
  <c r="S29" i="7" s="1"/>
  <c r="J30" i="5"/>
  <c r="S30" i="7" s="1"/>
  <c r="J31" i="5"/>
  <c r="S31" i="7" s="1"/>
  <c r="J5" i="5"/>
  <c r="S5" i="7" s="1"/>
  <c r="J6" i="3"/>
  <c r="O6" i="7" s="1"/>
  <c r="J7" i="3"/>
  <c r="O7" i="7" s="1"/>
  <c r="J8" i="3"/>
  <c r="O8" i="7" s="1"/>
  <c r="J9" i="3"/>
  <c r="O9" i="7" s="1"/>
  <c r="J10" i="3"/>
  <c r="J11" i="3"/>
  <c r="J12" i="3"/>
  <c r="O12" i="7" s="1"/>
  <c r="J13" i="3"/>
  <c r="O13" i="7" s="1"/>
  <c r="J14" i="3"/>
  <c r="O14" i="7" s="1"/>
  <c r="J15" i="3"/>
  <c r="O15" i="7" s="1"/>
  <c r="J16" i="3"/>
  <c r="O16" i="7" s="1"/>
  <c r="J17" i="3"/>
  <c r="O17" i="7" s="1"/>
  <c r="J18" i="3"/>
  <c r="O18" i="7" s="1"/>
  <c r="J19" i="3"/>
  <c r="O19" i="7" s="1"/>
  <c r="J20" i="3"/>
  <c r="O20" i="7" s="1"/>
  <c r="J21" i="3"/>
  <c r="O21" i="7" s="1"/>
  <c r="J22" i="3"/>
  <c r="O22" i="7" s="1"/>
  <c r="J23" i="3"/>
  <c r="O23" i="7" s="1"/>
  <c r="J24" i="3"/>
  <c r="O24" i="7" s="1"/>
  <c r="J25" i="3"/>
  <c r="O25" i="7" s="1"/>
  <c r="J26" i="3"/>
  <c r="O26" i="7" s="1"/>
  <c r="J27" i="3"/>
  <c r="O27" i="7" s="1"/>
  <c r="J28" i="3"/>
  <c r="O28" i="7" s="1"/>
  <c r="J29" i="3"/>
  <c r="O29" i="7" s="1"/>
  <c r="J30" i="3"/>
  <c r="O30" i="7" s="1"/>
  <c r="J31" i="3"/>
  <c r="O31" i="7" s="1"/>
  <c r="J5" i="3"/>
  <c r="J6" i="4"/>
  <c r="K6" i="7" s="1"/>
  <c r="J7" i="4"/>
  <c r="K7" i="7" s="1"/>
  <c r="J8" i="4"/>
  <c r="K8" i="7" s="1"/>
  <c r="J9" i="4"/>
  <c r="K9" i="7" s="1"/>
  <c r="J10" i="4"/>
  <c r="K10" i="7" s="1"/>
  <c r="J11" i="4"/>
  <c r="K11" i="7" s="1"/>
  <c r="J12" i="4"/>
  <c r="K12" i="7" s="1"/>
  <c r="J13" i="4"/>
  <c r="K13" i="7" s="1"/>
  <c r="J14" i="4"/>
  <c r="K14" i="7" s="1"/>
  <c r="J15" i="4"/>
  <c r="K15" i="7" s="1"/>
  <c r="J16" i="4"/>
  <c r="K16" i="7" s="1"/>
  <c r="J17" i="4"/>
  <c r="K17" i="7" s="1"/>
  <c r="J18" i="4"/>
  <c r="K18" i="7" s="1"/>
  <c r="J19" i="4"/>
  <c r="K19" i="7" s="1"/>
  <c r="J20" i="4"/>
  <c r="K20" i="7" s="1"/>
  <c r="J21" i="4"/>
  <c r="K21" i="7" s="1"/>
  <c r="J22" i="4"/>
  <c r="K22" i="7" s="1"/>
  <c r="J23" i="4"/>
  <c r="K23" i="7" s="1"/>
  <c r="J24" i="4"/>
  <c r="K24" i="7" s="1"/>
  <c r="J25" i="4"/>
  <c r="K25" i="7" s="1"/>
  <c r="J26" i="4"/>
  <c r="K26" i="7" s="1"/>
  <c r="J27" i="4"/>
  <c r="K27" i="7" s="1"/>
  <c r="J28" i="4"/>
  <c r="K28" i="7" s="1"/>
  <c r="J29" i="4"/>
  <c r="K29" i="7" s="1"/>
  <c r="J30" i="4"/>
  <c r="K30" i="7" s="1"/>
  <c r="J31" i="4"/>
  <c r="K31" i="7" s="1"/>
  <c r="J5" i="4"/>
  <c r="K5" i="7" s="1"/>
  <c r="J6" i="2"/>
  <c r="G6" i="7" s="1"/>
  <c r="J7" i="2"/>
  <c r="G7" i="7" s="1"/>
  <c r="J8" i="2"/>
  <c r="G8" i="7" s="1"/>
  <c r="J9" i="2"/>
  <c r="G9" i="7" s="1"/>
  <c r="J10" i="2"/>
  <c r="G10" i="7" s="1"/>
  <c r="J11" i="2"/>
  <c r="G11" i="7" s="1"/>
  <c r="J12" i="2"/>
  <c r="G12" i="7" s="1"/>
  <c r="J13" i="2"/>
  <c r="J14" i="2"/>
  <c r="G14" i="7" s="1"/>
  <c r="J15" i="2"/>
  <c r="G15" i="7" s="1"/>
  <c r="J16" i="2"/>
  <c r="G16" i="7" s="1"/>
  <c r="J17" i="2"/>
  <c r="G17" i="7" s="1"/>
  <c r="J18" i="2"/>
  <c r="G18" i="7" s="1"/>
  <c r="J19" i="2"/>
  <c r="J20" i="2"/>
  <c r="J21" i="2"/>
  <c r="J22" i="2"/>
  <c r="G22" i="7" s="1"/>
  <c r="J23" i="2"/>
  <c r="G23" i="7" s="1"/>
  <c r="J24" i="2"/>
  <c r="G24" i="7" s="1"/>
  <c r="J25" i="2"/>
  <c r="G25" i="7" s="1"/>
  <c r="J26" i="2"/>
  <c r="G26" i="7" s="1"/>
  <c r="J27" i="2"/>
  <c r="G27" i="7" s="1"/>
  <c r="J28" i="2"/>
  <c r="G28" i="7" s="1"/>
  <c r="J29" i="2"/>
  <c r="G29" i="7" s="1"/>
  <c r="J30" i="2"/>
  <c r="J31" i="2"/>
  <c r="G31" i="7" s="1"/>
  <c r="J5" i="2"/>
  <c r="K6" i="6"/>
  <c r="X6" i="7" s="1"/>
  <c r="K7" i="6"/>
  <c r="X7" i="7" s="1"/>
  <c r="K8" i="6"/>
  <c r="K9" i="6"/>
  <c r="X9" i="7" s="1"/>
  <c r="K10" i="6"/>
  <c r="K11" i="6"/>
  <c r="X11" i="7" s="1"/>
  <c r="K12" i="6"/>
  <c r="X12" i="7" s="1"/>
  <c r="K13" i="6"/>
  <c r="K14" i="6"/>
  <c r="X14" i="7" s="1"/>
  <c r="K15" i="6"/>
  <c r="X15" i="7" s="1"/>
  <c r="K16" i="6"/>
  <c r="X16" i="7" s="1"/>
  <c r="K17" i="6"/>
  <c r="X17" i="7" s="1"/>
  <c r="K18" i="6"/>
  <c r="X18" i="7" s="1"/>
  <c r="K19" i="6"/>
  <c r="X19" i="7" s="1"/>
  <c r="K20" i="6"/>
  <c r="X20" i="7" s="1"/>
  <c r="K21" i="6"/>
  <c r="K22" i="6"/>
  <c r="X22" i="7" s="1"/>
  <c r="K23" i="6"/>
  <c r="X23" i="7" s="1"/>
  <c r="K24" i="6"/>
  <c r="X24" i="7" s="1"/>
  <c r="K25" i="6"/>
  <c r="X25" i="7" s="1"/>
  <c r="K26" i="6"/>
  <c r="K27" i="6"/>
  <c r="X27" i="7" s="1"/>
  <c r="K28" i="6"/>
  <c r="X28" i="7" s="1"/>
  <c r="K29" i="6"/>
  <c r="X29" i="7" s="1"/>
  <c r="K30" i="6"/>
  <c r="X30" i="7" s="1"/>
  <c r="K31" i="6"/>
  <c r="X31" i="7" s="1"/>
  <c r="K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5" i="6"/>
  <c r="H6" i="6"/>
  <c r="H7" i="6"/>
  <c r="H8" i="6"/>
  <c r="H9" i="6"/>
  <c r="H11" i="6"/>
  <c r="H12" i="6"/>
  <c r="H13" i="6"/>
  <c r="H14" i="6"/>
  <c r="H15" i="6"/>
  <c r="H16" i="6"/>
  <c r="H17" i="6"/>
  <c r="H18" i="6"/>
  <c r="H19" i="6"/>
  <c r="H20" i="6"/>
  <c r="H21" i="6"/>
  <c r="R21" i="6" s="1"/>
  <c r="H22" i="6"/>
  <c r="H23" i="6"/>
  <c r="H24" i="6"/>
  <c r="H25" i="6"/>
  <c r="H26" i="6"/>
  <c r="H27" i="6"/>
  <c r="H28" i="6"/>
  <c r="H29" i="6"/>
  <c r="H30" i="6"/>
  <c r="H31" i="6"/>
  <c r="H5" i="6"/>
  <c r="K6" i="5"/>
  <c r="K7" i="5"/>
  <c r="T7" i="7" s="1"/>
  <c r="K8" i="5"/>
  <c r="T8" i="7" s="1"/>
  <c r="K9" i="5"/>
  <c r="T9" i="7" s="1"/>
  <c r="K10" i="5"/>
  <c r="T10" i="7" s="1"/>
  <c r="K11" i="5"/>
  <c r="T11" i="7" s="1"/>
  <c r="K12" i="5"/>
  <c r="T12" i="7" s="1"/>
  <c r="K13" i="5"/>
  <c r="K14" i="5"/>
  <c r="T14" i="7" s="1"/>
  <c r="K15" i="5"/>
  <c r="T15" i="7" s="1"/>
  <c r="K16" i="5"/>
  <c r="T16" i="7" s="1"/>
  <c r="K17" i="5"/>
  <c r="T17" i="7" s="1"/>
  <c r="K18" i="5"/>
  <c r="T18" i="7" s="1"/>
  <c r="K19" i="5"/>
  <c r="T19" i="7" s="1"/>
  <c r="K20" i="5"/>
  <c r="T20" i="7" s="1"/>
  <c r="K21" i="5"/>
  <c r="K22" i="5"/>
  <c r="T22" i="7" s="1"/>
  <c r="K23" i="5"/>
  <c r="T23" i="7" s="1"/>
  <c r="K24" i="5"/>
  <c r="T24" i="7" s="1"/>
  <c r="K25" i="5"/>
  <c r="K26" i="5"/>
  <c r="T26" i="7" s="1"/>
  <c r="K27" i="5"/>
  <c r="K28" i="5"/>
  <c r="T28" i="7" s="1"/>
  <c r="K29" i="5"/>
  <c r="K30" i="5"/>
  <c r="K31" i="5"/>
  <c r="T31" i="7" s="1"/>
  <c r="K5" i="5"/>
  <c r="T5" i="7" s="1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5" i="5"/>
  <c r="H6" i="5"/>
  <c r="H7" i="5"/>
  <c r="H8" i="5"/>
  <c r="H9" i="5"/>
  <c r="H11" i="5"/>
  <c r="H12" i="5"/>
  <c r="H13" i="5"/>
  <c r="H14" i="5"/>
  <c r="H15" i="5"/>
  <c r="H16" i="5"/>
  <c r="H17" i="5"/>
  <c r="H18" i="5"/>
  <c r="H19" i="5"/>
  <c r="H20" i="5"/>
  <c r="H21" i="5"/>
  <c r="R21" i="5" s="1"/>
  <c r="H22" i="5"/>
  <c r="H23" i="5"/>
  <c r="H24" i="5"/>
  <c r="H25" i="5"/>
  <c r="H26" i="5"/>
  <c r="H27" i="5"/>
  <c r="H28" i="5"/>
  <c r="H29" i="5"/>
  <c r="H30" i="5"/>
  <c r="H31" i="5"/>
  <c r="H5" i="5"/>
  <c r="K6" i="3"/>
  <c r="K7" i="3"/>
  <c r="P7" i="7" s="1"/>
  <c r="K8" i="3"/>
  <c r="P8" i="7" s="1"/>
  <c r="K9" i="3"/>
  <c r="P9" i="7" s="1"/>
  <c r="K10" i="3"/>
  <c r="P10" i="7" s="1"/>
  <c r="K11" i="3"/>
  <c r="P11" i="7" s="1"/>
  <c r="K12" i="3"/>
  <c r="K13" i="3"/>
  <c r="P13" i="7" s="1"/>
  <c r="K14" i="3"/>
  <c r="P14" i="7" s="1"/>
  <c r="K15" i="3"/>
  <c r="K16" i="3"/>
  <c r="P16" i="7" s="1"/>
  <c r="K17" i="3"/>
  <c r="P17" i="7" s="1"/>
  <c r="K18" i="3"/>
  <c r="P18" i="7" s="1"/>
  <c r="K19" i="3"/>
  <c r="P19" i="7" s="1"/>
  <c r="K20" i="3"/>
  <c r="K21" i="3"/>
  <c r="K22" i="3"/>
  <c r="K23" i="3"/>
  <c r="P23" i="7" s="1"/>
  <c r="K24" i="3"/>
  <c r="P24" i="7" s="1"/>
  <c r="K25" i="3"/>
  <c r="P25" i="7" s="1"/>
  <c r="K26" i="3"/>
  <c r="P26" i="7" s="1"/>
  <c r="K27" i="3"/>
  <c r="P27" i="7" s="1"/>
  <c r="K28" i="3"/>
  <c r="K29" i="3"/>
  <c r="P29" i="7" s="1"/>
  <c r="K30" i="3"/>
  <c r="K31" i="3"/>
  <c r="P31" i="7" s="1"/>
  <c r="K5" i="3"/>
  <c r="P5" i="7" s="1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5" i="3"/>
  <c r="H6" i="3"/>
  <c r="H7" i="3"/>
  <c r="H8" i="3"/>
  <c r="H9" i="3"/>
  <c r="H11" i="3"/>
  <c r="H12" i="3"/>
  <c r="H13" i="3"/>
  <c r="H14" i="3"/>
  <c r="H15" i="3"/>
  <c r="H16" i="3"/>
  <c r="H17" i="3"/>
  <c r="H18" i="3"/>
  <c r="H19" i="3"/>
  <c r="H20" i="3"/>
  <c r="H21" i="3"/>
  <c r="R21" i="3" s="1"/>
  <c r="H22" i="3"/>
  <c r="H23" i="3"/>
  <c r="H24" i="3"/>
  <c r="H25" i="3"/>
  <c r="H26" i="3"/>
  <c r="H27" i="3"/>
  <c r="H28" i="3"/>
  <c r="H29" i="3"/>
  <c r="H30" i="3"/>
  <c r="H31" i="3"/>
  <c r="H5" i="3"/>
  <c r="K6" i="4"/>
  <c r="L6" i="7" s="1"/>
  <c r="K7" i="4"/>
  <c r="K8" i="4"/>
  <c r="K9" i="4"/>
  <c r="K10" i="4"/>
  <c r="K11" i="4"/>
  <c r="K12" i="4"/>
  <c r="L12" i="7" s="1"/>
  <c r="K13" i="4"/>
  <c r="K14" i="4"/>
  <c r="K15" i="4"/>
  <c r="L15" i="7" s="1"/>
  <c r="K16" i="4"/>
  <c r="K17" i="4"/>
  <c r="K18" i="4"/>
  <c r="K19" i="4"/>
  <c r="L19" i="7" s="1"/>
  <c r="K20" i="4"/>
  <c r="K21" i="4"/>
  <c r="K22" i="4"/>
  <c r="K23" i="4"/>
  <c r="K24" i="4"/>
  <c r="L24" i="7" s="1"/>
  <c r="K25" i="4"/>
  <c r="L25" i="7" s="1"/>
  <c r="K26" i="4"/>
  <c r="K27" i="4"/>
  <c r="K28" i="4"/>
  <c r="K29" i="4"/>
  <c r="K30" i="4"/>
  <c r="K31" i="4"/>
  <c r="K5" i="4"/>
  <c r="L5" i="7" s="1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5" i="4"/>
  <c r="H6" i="4"/>
  <c r="H7" i="4"/>
  <c r="H8" i="4"/>
  <c r="H9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5" i="4"/>
  <c r="H10" i="2"/>
  <c r="K6" i="2"/>
  <c r="H6" i="7" s="1"/>
  <c r="K7" i="2"/>
  <c r="K8" i="2"/>
  <c r="H8" i="7" s="1"/>
  <c r="K9" i="2"/>
  <c r="K10" i="2"/>
  <c r="K11" i="2"/>
  <c r="K12" i="2"/>
  <c r="H12" i="7" s="1"/>
  <c r="K13" i="2"/>
  <c r="H13" i="7" s="1"/>
  <c r="K14" i="2"/>
  <c r="H14" i="7" s="1"/>
  <c r="K15" i="2"/>
  <c r="K16" i="2"/>
  <c r="K17" i="2"/>
  <c r="K19" i="2"/>
  <c r="H19" i="7" s="1"/>
  <c r="K20" i="2"/>
  <c r="H20" i="7" s="1"/>
  <c r="K21" i="2"/>
  <c r="H21" i="7" s="1"/>
  <c r="K22" i="2"/>
  <c r="H22" i="7" s="1"/>
  <c r="K23" i="2"/>
  <c r="K24" i="2"/>
  <c r="K25" i="2"/>
  <c r="H25" i="7" s="1"/>
  <c r="K26" i="2"/>
  <c r="K27" i="2"/>
  <c r="K28" i="2"/>
  <c r="K29" i="2"/>
  <c r="H29" i="7" s="1"/>
  <c r="K30" i="2"/>
  <c r="H30" i="7" s="1"/>
  <c r="K31" i="2"/>
  <c r="H31" i="7" s="1"/>
  <c r="K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5" i="2"/>
  <c r="H6" i="2"/>
  <c r="H7" i="2"/>
  <c r="H8" i="2"/>
  <c r="H9" i="2"/>
  <c r="H11" i="2"/>
  <c r="H12" i="2"/>
  <c r="H13" i="2"/>
  <c r="H14" i="2"/>
  <c r="H15" i="2"/>
  <c r="H16" i="2"/>
  <c r="H17" i="2"/>
  <c r="H18" i="2"/>
  <c r="H19" i="2"/>
  <c r="H20" i="2"/>
  <c r="H21" i="2"/>
  <c r="R21" i="2" s="1"/>
  <c r="H22" i="2"/>
  <c r="H23" i="2"/>
  <c r="H24" i="2"/>
  <c r="H25" i="2"/>
  <c r="H26" i="2"/>
  <c r="H27" i="2"/>
  <c r="H28" i="2"/>
  <c r="H29" i="2"/>
  <c r="H30" i="2"/>
  <c r="H31" i="2"/>
  <c r="H5" i="2"/>
  <c r="K151" i="1"/>
  <c r="K121" i="1"/>
  <c r="K60" i="1"/>
  <c r="K91" i="1"/>
  <c r="K18" i="2" l="1"/>
  <c r="K32" i="2" s="1"/>
  <c r="K30" i="1"/>
  <c r="L14" i="5"/>
  <c r="Q10" i="5"/>
  <c r="R19" i="9"/>
  <c r="R22" i="9"/>
  <c r="R14" i="9"/>
  <c r="R6" i="9"/>
  <c r="E32" i="10"/>
  <c r="R15" i="9"/>
  <c r="R7" i="9"/>
  <c r="E32" i="6"/>
  <c r="E32" i="5"/>
  <c r="E32" i="9"/>
  <c r="H5" i="7"/>
  <c r="R14" i="3"/>
  <c r="G30" i="2"/>
  <c r="R30" i="2" s="1"/>
  <c r="Q30" i="2"/>
  <c r="A2" i="6"/>
  <c r="A2" i="9"/>
  <c r="Q16" i="9"/>
  <c r="G16" i="9"/>
  <c r="R16" i="9" s="1"/>
  <c r="Q23" i="9"/>
  <c r="R6" i="10"/>
  <c r="R13" i="10"/>
  <c r="R14" i="10"/>
  <c r="Q15" i="10"/>
  <c r="R15" i="10"/>
  <c r="Q16" i="10"/>
  <c r="R16" i="10"/>
  <c r="Q17" i="10"/>
  <c r="Q18" i="10"/>
  <c r="Q19" i="10"/>
  <c r="Q22" i="10"/>
  <c r="Q27" i="10"/>
  <c r="Q30" i="10"/>
  <c r="R30" i="10"/>
  <c r="Q6" i="10"/>
  <c r="Q7" i="10"/>
  <c r="Q8" i="10"/>
  <c r="Q9" i="10"/>
  <c r="Q10" i="10"/>
  <c r="Q11" i="10"/>
  <c r="Q12" i="10"/>
  <c r="Q13" i="10"/>
  <c r="Q14" i="10"/>
  <c r="Q21" i="10"/>
  <c r="R27" i="10"/>
  <c r="K32" i="9"/>
  <c r="Q9" i="9"/>
  <c r="Q10" i="9"/>
  <c r="Q12" i="9"/>
  <c r="Q13" i="9"/>
  <c r="Q21" i="9"/>
  <c r="R23" i="9"/>
  <c r="Q26" i="9"/>
  <c r="Q27" i="9"/>
  <c r="Q5" i="9"/>
  <c r="Q5" i="4"/>
  <c r="Q17" i="2"/>
  <c r="Q27" i="2"/>
  <c r="R5" i="10"/>
  <c r="Q5" i="10"/>
  <c r="Q11" i="9"/>
  <c r="R11" i="9"/>
  <c r="G20" i="10"/>
  <c r="R20" i="10" s="1"/>
  <c r="Q20" i="10"/>
  <c r="G23" i="10"/>
  <c r="R23" i="10" s="1"/>
  <c r="Q23" i="10"/>
  <c r="G24" i="10"/>
  <c r="R24" i="10" s="1"/>
  <c r="Q24" i="10"/>
  <c r="G25" i="10"/>
  <c r="R25" i="10" s="1"/>
  <c r="Q25" i="10"/>
  <c r="G26" i="10"/>
  <c r="R26" i="10" s="1"/>
  <c r="Q26" i="10"/>
  <c r="G28" i="10"/>
  <c r="R28" i="10" s="1"/>
  <c r="Q28" i="10"/>
  <c r="G29" i="10"/>
  <c r="R29" i="10" s="1"/>
  <c r="Q29" i="10"/>
  <c r="G18" i="9"/>
  <c r="R18" i="9" s="1"/>
  <c r="Q18" i="9"/>
  <c r="G20" i="9"/>
  <c r="R20" i="9" s="1"/>
  <c r="Q20" i="9"/>
  <c r="G29" i="4"/>
  <c r="R29" i="4" s="1"/>
  <c r="Q29" i="4"/>
  <c r="G7" i="2"/>
  <c r="R7" i="2" s="1"/>
  <c r="Q7" i="2"/>
  <c r="G14" i="2"/>
  <c r="R14" i="2" s="1"/>
  <c r="Q14" i="2"/>
  <c r="G15" i="2"/>
  <c r="R15" i="2" s="1"/>
  <c r="Q15" i="2"/>
  <c r="G16" i="2"/>
  <c r="R16" i="2" s="1"/>
  <c r="Q16" i="2"/>
  <c r="G18" i="2"/>
  <c r="R18" i="2" s="1"/>
  <c r="Q18" i="2"/>
  <c r="K32" i="6"/>
  <c r="X5" i="7"/>
  <c r="Y5" i="7" s="1"/>
  <c r="R12" i="3"/>
  <c r="R12" i="4"/>
  <c r="Q30" i="9"/>
  <c r="G30" i="9"/>
  <c r="R30" i="9" s="1"/>
  <c r="L28" i="5"/>
  <c r="U28" i="7"/>
  <c r="L31" i="5"/>
  <c r="U31" i="7"/>
  <c r="U5" i="7"/>
  <c r="L24" i="3"/>
  <c r="Q24" i="7"/>
  <c r="L25" i="3"/>
  <c r="Q25" i="7"/>
  <c r="L26" i="3"/>
  <c r="Q26" i="7"/>
  <c r="L27" i="3"/>
  <c r="L29" i="3"/>
  <c r="Q29" i="7"/>
  <c r="L31" i="3"/>
  <c r="Q31" i="7"/>
  <c r="L6" i="4"/>
  <c r="M6" i="7"/>
  <c r="L12" i="4"/>
  <c r="M12" i="7"/>
  <c r="L15" i="4"/>
  <c r="M15" i="7"/>
  <c r="L19" i="4"/>
  <c r="M19" i="7"/>
  <c r="L24" i="4"/>
  <c r="L25" i="4"/>
  <c r="M25" i="7"/>
  <c r="M5" i="7"/>
  <c r="M24" i="7"/>
  <c r="L26" i="4"/>
  <c r="L26" i="7"/>
  <c r="M26" i="7" s="1"/>
  <c r="L31" i="4"/>
  <c r="L31" i="7"/>
  <c r="M31" i="7" s="1"/>
  <c r="L30" i="5"/>
  <c r="T30" i="7"/>
  <c r="U30" i="7" s="1"/>
  <c r="E32" i="3"/>
  <c r="L22" i="2"/>
  <c r="L29" i="2"/>
  <c r="L31" i="2"/>
  <c r="R15" i="6"/>
  <c r="R16" i="6"/>
  <c r="R24" i="4"/>
  <c r="Q26" i="4"/>
  <c r="L6" i="2"/>
  <c r="I8" i="7"/>
  <c r="L12" i="2"/>
  <c r="I22" i="7"/>
  <c r="I25" i="7"/>
  <c r="I29" i="7"/>
  <c r="I31" i="7"/>
  <c r="R6" i="2"/>
  <c r="R8" i="2"/>
  <c r="R9" i="2"/>
  <c r="R11" i="2"/>
  <c r="R12" i="2"/>
  <c r="R23" i="2"/>
  <c r="R24" i="2"/>
  <c r="R25" i="2"/>
  <c r="R26" i="2"/>
  <c r="R28" i="2"/>
  <c r="G13" i="7"/>
  <c r="I13" i="7" s="1"/>
  <c r="L13" i="2"/>
  <c r="G19" i="7"/>
  <c r="I19" i="7" s="1"/>
  <c r="L19" i="2"/>
  <c r="G20" i="7"/>
  <c r="I20" i="7" s="1"/>
  <c r="L20" i="2"/>
  <c r="G21" i="7"/>
  <c r="I21" i="7" s="1"/>
  <c r="L21" i="2"/>
  <c r="G30" i="7"/>
  <c r="I30" i="7" s="1"/>
  <c r="L30" i="2"/>
  <c r="G5" i="7"/>
  <c r="L5" i="2"/>
  <c r="J32" i="2"/>
  <c r="L5" i="3"/>
  <c r="K32" i="3"/>
  <c r="L5" i="4"/>
  <c r="K32" i="4"/>
  <c r="L6" i="3"/>
  <c r="P6" i="7"/>
  <c r="Q6" i="7" s="1"/>
  <c r="L30" i="3"/>
  <c r="P30" i="7"/>
  <c r="Q30" i="7" s="1"/>
  <c r="Q7" i="6"/>
  <c r="Q8" i="6"/>
  <c r="Q9" i="6"/>
  <c r="Q11" i="6"/>
  <c r="Q13" i="6"/>
  <c r="Q17" i="6"/>
  <c r="Q20" i="6"/>
  <c r="Q21" i="6"/>
  <c r="Q24" i="6"/>
  <c r="Q27" i="6"/>
  <c r="I6" i="7"/>
  <c r="Q12" i="6"/>
  <c r="Q14" i="6"/>
  <c r="Q15" i="6"/>
  <c r="R17" i="6"/>
  <c r="Q22" i="6"/>
  <c r="Q23" i="6"/>
  <c r="Q26" i="6"/>
  <c r="Q30" i="6"/>
  <c r="Q16" i="6"/>
  <c r="Y16" i="7"/>
  <c r="Y17" i="7"/>
  <c r="Y18" i="7"/>
  <c r="Y19" i="7"/>
  <c r="Y20" i="7"/>
  <c r="Y25" i="7"/>
  <c r="Y28" i="7"/>
  <c r="Y29" i="7"/>
  <c r="Y31" i="7"/>
  <c r="U14" i="7"/>
  <c r="Q25" i="9"/>
  <c r="G25" i="9"/>
  <c r="R25" i="9" s="1"/>
  <c r="Q10" i="6"/>
  <c r="G10" i="6"/>
  <c r="R10" i="6" s="1"/>
  <c r="L27" i="5"/>
  <c r="T27" i="7"/>
  <c r="U27" i="7" s="1"/>
  <c r="L29" i="5"/>
  <c r="T29" i="7"/>
  <c r="U29" i="7" s="1"/>
  <c r="L28" i="3"/>
  <c r="P28" i="7"/>
  <c r="Q28" i="7" s="1"/>
  <c r="L23" i="4"/>
  <c r="L23" i="7"/>
  <c r="M23" i="7" s="1"/>
  <c r="L16" i="2"/>
  <c r="H16" i="7"/>
  <c r="I16" i="7" s="1"/>
  <c r="E32" i="4"/>
  <c r="Q6" i="6"/>
  <c r="R15" i="5"/>
  <c r="Y6" i="7"/>
  <c r="Y9" i="7"/>
  <c r="L10" i="5"/>
  <c r="U10" i="7"/>
  <c r="L11" i="5"/>
  <c r="U11" i="7"/>
  <c r="L12" i="5"/>
  <c r="L15" i="5"/>
  <c r="U15" i="7"/>
  <c r="L16" i="5"/>
  <c r="U16" i="7"/>
  <c r="L17" i="5"/>
  <c r="U17" i="7"/>
  <c r="L18" i="5"/>
  <c r="U18" i="7"/>
  <c r="L19" i="5"/>
  <c r="U19" i="7"/>
  <c r="L20" i="5"/>
  <c r="U20" i="7"/>
  <c r="L22" i="5"/>
  <c r="U22" i="7"/>
  <c r="L23" i="5"/>
  <c r="L24" i="5"/>
  <c r="U24" i="7"/>
  <c r="L26" i="5"/>
  <c r="U26" i="7"/>
  <c r="Q7" i="7"/>
  <c r="L8" i="3"/>
  <c r="Q8" i="7"/>
  <c r="Q9" i="7"/>
  <c r="L13" i="3"/>
  <c r="Q13" i="7"/>
  <c r="L14" i="3"/>
  <c r="Q14" i="7"/>
  <c r="L16" i="3"/>
  <c r="Q16" i="7"/>
  <c r="L17" i="3"/>
  <c r="Q17" i="7"/>
  <c r="Q18" i="7"/>
  <c r="L19" i="3"/>
  <c r="Q19" i="7"/>
  <c r="L23" i="3"/>
  <c r="Q23" i="7"/>
  <c r="L8" i="4"/>
  <c r="L8" i="7"/>
  <c r="M8" i="7" s="1"/>
  <c r="L14" i="4"/>
  <c r="L14" i="7"/>
  <c r="M14" i="7" s="1"/>
  <c r="L22" i="4"/>
  <c r="L22" i="7"/>
  <c r="M22" i="7" s="1"/>
  <c r="L30" i="4"/>
  <c r="L30" i="7"/>
  <c r="M30" i="7" s="1"/>
  <c r="L7" i="2"/>
  <c r="H7" i="7"/>
  <c r="I7" i="7" s="1"/>
  <c r="Q18" i="5"/>
  <c r="Q17" i="5"/>
  <c r="Q24" i="9"/>
  <c r="R17" i="10"/>
  <c r="R18" i="10"/>
  <c r="R19" i="10"/>
  <c r="R22" i="10"/>
  <c r="Q6" i="9"/>
  <c r="Q15" i="9"/>
  <c r="Q17" i="9"/>
  <c r="Q19" i="9"/>
  <c r="Q15" i="5"/>
  <c r="Q24" i="5"/>
  <c r="R15" i="3"/>
  <c r="R16" i="3"/>
  <c r="R17" i="3"/>
  <c r="R19" i="3"/>
  <c r="Q15" i="4"/>
  <c r="R15" i="4"/>
  <c r="R20" i="4"/>
  <c r="Q24" i="4"/>
  <c r="R17" i="2"/>
  <c r="R19" i="2"/>
  <c r="J32" i="5"/>
  <c r="L7" i="3"/>
  <c r="L9" i="3"/>
  <c r="L18" i="3"/>
  <c r="J32" i="4"/>
  <c r="Y7" i="7"/>
  <c r="Y11" i="7"/>
  <c r="Y12" i="7"/>
  <c r="Y15" i="7"/>
  <c r="Y24" i="7"/>
  <c r="Y30" i="7"/>
  <c r="R13" i="6"/>
  <c r="R14" i="6"/>
  <c r="R22" i="6"/>
  <c r="R23" i="6"/>
  <c r="R24" i="6"/>
  <c r="R26" i="6"/>
  <c r="R27" i="6"/>
  <c r="R30" i="6"/>
  <c r="L7" i="5"/>
  <c r="U7" i="7"/>
  <c r="L8" i="5"/>
  <c r="U8" i="7"/>
  <c r="L9" i="5"/>
  <c r="U9" i="7"/>
  <c r="Q18" i="6"/>
  <c r="G18" i="6"/>
  <c r="R18" i="6" s="1"/>
  <c r="Q19" i="6"/>
  <c r="G19" i="6"/>
  <c r="R19" i="6" s="1"/>
  <c r="Q25" i="6"/>
  <c r="G25" i="6"/>
  <c r="R25" i="6" s="1"/>
  <c r="Q28" i="6"/>
  <c r="G28" i="6"/>
  <c r="R28" i="6" s="1"/>
  <c r="Q29" i="6"/>
  <c r="G29" i="6"/>
  <c r="R29" i="6" s="1"/>
  <c r="Q5" i="6"/>
  <c r="G5" i="6"/>
  <c r="R5" i="6" s="1"/>
  <c r="L9" i="4"/>
  <c r="L9" i="7"/>
  <c r="L13" i="4"/>
  <c r="L13" i="7"/>
  <c r="M13" i="7" s="1"/>
  <c r="L18" i="4"/>
  <c r="L18" i="7"/>
  <c r="M18" i="7" s="1"/>
  <c r="L20" i="4"/>
  <c r="L20" i="7"/>
  <c r="M20" i="7" s="1"/>
  <c r="L27" i="4"/>
  <c r="L27" i="7"/>
  <c r="M27" i="7" s="1"/>
  <c r="L28" i="4"/>
  <c r="L28" i="7"/>
  <c r="M28" i="7" s="1"/>
  <c r="L15" i="2"/>
  <c r="H15" i="7"/>
  <c r="I15" i="7" s="1"/>
  <c r="AB32" i="7"/>
  <c r="L15" i="10"/>
  <c r="L16" i="10"/>
  <c r="L17" i="10"/>
  <c r="AG20" i="7"/>
  <c r="L24" i="10"/>
  <c r="L25" i="10"/>
  <c r="L26" i="10"/>
  <c r="L27" i="10"/>
  <c r="L31" i="10"/>
  <c r="L7" i="9"/>
  <c r="L9" i="9"/>
  <c r="L13" i="9"/>
  <c r="L16" i="9"/>
  <c r="L27" i="9"/>
  <c r="L29" i="9"/>
  <c r="L30" i="9"/>
  <c r="L6" i="6"/>
  <c r="L7" i="6"/>
  <c r="L9" i="6"/>
  <c r="L11" i="6"/>
  <c r="L12" i="6"/>
  <c r="L14" i="6"/>
  <c r="L15" i="6"/>
  <c r="L16" i="6"/>
  <c r="L17" i="6"/>
  <c r="L18" i="6"/>
  <c r="L19" i="6"/>
  <c r="L20" i="6"/>
  <c r="L22" i="6"/>
  <c r="L23" i="6"/>
  <c r="L24" i="6"/>
  <c r="L25" i="6"/>
  <c r="L27" i="6"/>
  <c r="L28" i="6"/>
  <c r="L29" i="6"/>
  <c r="L30" i="6"/>
  <c r="L31" i="6"/>
  <c r="L5" i="6"/>
  <c r="R6" i="6"/>
  <c r="R7" i="6"/>
  <c r="R8" i="6"/>
  <c r="R9" i="6"/>
  <c r="R11" i="6"/>
  <c r="R12" i="6"/>
  <c r="R9" i="5"/>
  <c r="R12" i="5"/>
  <c r="R24" i="5"/>
  <c r="Q12" i="3"/>
  <c r="Q14" i="3"/>
  <c r="Q21" i="3"/>
  <c r="Q22" i="3"/>
  <c r="Q8" i="4"/>
  <c r="Q12" i="4"/>
  <c r="Q22" i="4"/>
  <c r="Q27" i="4"/>
  <c r="Q28" i="4"/>
  <c r="R5" i="4"/>
  <c r="Q10" i="2"/>
  <c r="Q6" i="2"/>
  <c r="Q8" i="2"/>
  <c r="Q9" i="2"/>
  <c r="Q11" i="2"/>
  <c r="Q12" i="2"/>
  <c r="Q21" i="2"/>
  <c r="Q22" i="2"/>
  <c r="Q23" i="2"/>
  <c r="Q24" i="2"/>
  <c r="Q25" i="2"/>
  <c r="Q26" i="2"/>
  <c r="R27" i="2"/>
  <c r="Q28" i="2"/>
  <c r="Q5" i="2"/>
  <c r="G6" i="5"/>
  <c r="R6" i="5" s="1"/>
  <c r="Q6" i="5"/>
  <c r="G14" i="5"/>
  <c r="R14" i="5" s="1"/>
  <c r="Q14" i="5"/>
  <c r="Q16" i="5"/>
  <c r="G16" i="5"/>
  <c r="R16" i="5" s="1"/>
  <c r="Q19" i="5"/>
  <c r="G19" i="5"/>
  <c r="R19" i="5" s="1"/>
  <c r="G22" i="5"/>
  <c r="R22" i="5" s="1"/>
  <c r="Q22" i="5"/>
  <c r="G26" i="5"/>
  <c r="R26" i="5" s="1"/>
  <c r="Q26" i="5"/>
  <c r="Q30" i="5"/>
  <c r="G30" i="5"/>
  <c r="R30" i="5" s="1"/>
  <c r="G5" i="5"/>
  <c r="R5" i="5" s="1"/>
  <c r="Q5" i="5"/>
  <c r="G6" i="3"/>
  <c r="R6" i="3" s="1"/>
  <c r="Q6" i="3"/>
  <c r="G8" i="3"/>
  <c r="R8" i="3" s="1"/>
  <c r="Q8" i="3"/>
  <c r="Q10" i="3"/>
  <c r="G10" i="3"/>
  <c r="R10" i="3" s="1"/>
  <c r="G25" i="3"/>
  <c r="R25" i="3" s="1"/>
  <c r="Q25" i="3"/>
  <c r="G27" i="3"/>
  <c r="R27" i="3" s="1"/>
  <c r="Q27" i="3"/>
  <c r="Q10" i="4"/>
  <c r="G10" i="4"/>
  <c r="R10" i="4" s="1"/>
  <c r="G13" i="4"/>
  <c r="R13" i="4" s="1"/>
  <c r="Q13" i="4"/>
  <c r="G16" i="4"/>
  <c r="R16" i="4" s="1"/>
  <c r="Q16" i="4"/>
  <c r="Q17" i="4"/>
  <c r="G17" i="4"/>
  <c r="R17" i="4" s="1"/>
  <c r="Q18" i="4"/>
  <c r="G18" i="4"/>
  <c r="R18" i="4" s="1"/>
  <c r="G19" i="4"/>
  <c r="R19" i="4" s="1"/>
  <c r="Q19" i="4"/>
  <c r="Q23" i="4"/>
  <c r="G23" i="4"/>
  <c r="R23" i="4" s="1"/>
  <c r="G20" i="2"/>
  <c r="R20" i="2" s="1"/>
  <c r="Q20" i="2"/>
  <c r="A2" i="10"/>
  <c r="A2" i="3"/>
  <c r="A2" i="7"/>
  <c r="A2" i="5"/>
  <c r="O10" i="7"/>
  <c r="Q10" i="7" s="1"/>
  <c r="L10" i="3"/>
  <c r="O11" i="7"/>
  <c r="Q11" i="7" s="1"/>
  <c r="L11" i="3"/>
  <c r="O5" i="7"/>
  <c r="J32" i="3"/>
  <c r="T6" i="7"/>
  <c r="L6" i="5"/>
  <c r="T13" i="7"/>
  <c r="U13" i="7" s="1"/>
  <c r="L13" i="5"/>
  <c r="T21" i="7"/>
  <c r="U21" i="7" s="1"/>
  <c r="L21" i="5"/>
  <c r="T25" i="7"/>
  <c r="U25" i="7" s="1"/>
  <c r="L25" i="5"/>
  <c r="K32" i="5"/>
  <c r="L5" i="5"/>
  <c r="P12" i="7"/>
  <c r="Q12" i="7" s="1"/>
  <c r="L12" i="3"/>
  <c r="P15" i="7"/>
  <c r="Q15" i="7" s="1"/>
  <c r="L15" i="3"/>
  <c r="P20" i="7"/>
  <c r="Q20" i="7" s="1"/>
  <c r="L20" i="3"/>
  <c r="P21" i="7"/>
  <c r="Q21" i="7" s="1"/>
  <c r="L21" i="3"/>
  <c r="P22" i="7"/>
  <c r="Q22" i="7" s="1"/>
  <c r="L22" i="3"/>
  <c r="L7" i="7"/>
  <c r="M7" i="7" s="1"/>
  <c r="L7" i="4"/>
  <c r="L10" i="7"/>
  <c r="M10" i="7" s="1"/>
  <c r="L10" i="4"/>
  <c r="L11" i="7"/>
  <c r="M11" i="7" s="1"/>
  <c r="L11" i="4"/>
  <c r="L16" i="7"/>
  <c r="M16" i="7" s="1"/>
  <c r="L16" i="4"/>
  <c r="L17" i="7"/>
  <c r="M17" i="7" s="1"/>
  <c r="L17" i="4"/>
  <c r="L21" i="7"/>
  <c r="M21" i="7" s="1"/>
  <c r="L21" i="4"/>
  <c r="L29" i="7"/>
  <c r="M29" i="7" s="1"/>
  <c r="L29" i="4"/>
  <c r="Q25" i="4"/>
  <c r="R25" i="4"/>
  <c r="H9" i="7"/>
  <c r="L9" i="2"/>
  <c r="H10" i="7"/>
  <c r="I10" i="7" s="1"/>
  <c r="L10" i="2"/>
  <c r="L11" i="2"/>
  <c r="H11" i="7"/>
  <c r="I11" i="7" s="1"/>
  <c r="L17" i="2"/>
  <c r="H17" i="7"/>
  <c r="I17" i="7" s="1"/>
  <c r="L18" i="2"/>
  <c r="H18" i="7"/>
  <c r="I18" i="7" s="1"/>
  <c r="L23" i="2"/>
  <c r="H23" i="7"/>
  <c r="I23" i="7" s="1"/>
  <c r="H24" i="7"/>
  <c r="I24" i="7" s="1"/>
  <c r="L24" i="2"/>
  <c r="H26" i="7"/>
  <c r="I26" i="7" s="1"/>
  <c r="L26" i="2"/>
  <c r="H27" i="7"/>
  <c r="I27" i="7" s="1"/>
  <c r="L27" i="2"/>
  <c r="H28" i="7"/>
  <c r="I28" i="7" s="1"/>
  <c r="L28" i="2"/>
  <c r="R22" i="2"/>
  <c r="Y14" i="7"/>
  <c r="U12" i="7"/>
  <c r="U23" i="7"/>
  <c r="Q27" i="7"/>
  <c r="R17" i="9"/>
  <c r="L26" i="6"/>
  <c r="X26" i="7"/>
  <c r="Y26" i="7" s="1"/>
  <c r="Q21" i="4"/>
  <c r="R21" i="4"/>
  <c r="R8" i="5"/>
  <c r="R13" i="5"/>
  <c r="R18" i="3"/>
  <c r="R20" i="3"/>
  <c r="R22" i="3"/>
  <c r="R8" i="4"/>
  <c r="R22" i="4"/>
  <c r="R26" i="4"/>
  <c r="R27" i="4"/>
  <c r="R28" i="4"/>
  <c r="R10" i="2"/>
  <c r="R5" i="2"/>
  <c r="I12" i="7"/>
  <c r="I14" i="7"/>
  <c r="L14" i="10"/>
  <c r="AG14" i="7"/>
  <c r="AG15" i="7"/>
  <c r="AG17" i="7"/>
  <c r="L18" i="10"/>
  <c r="AG18" i="7"/>
  <c r="L20" i="10"/>
  <c r="L22" i="10"/>
  <c r="AG22" i="7"/>
  <c r="AG24" i="7"/>
  <c r="AG25" i="7"/>
  <c r="AG26" i="7"/>
  <c r="AG27" i="7"/>
  <c r="L28" i="10"/>
  <c r="AG28" i="7"/>
  <c r="AG31" i="7"/>
  <c r="L6" i="9"/>
  <c r="AC6" i="7"/>
  <c r="AC7" i="7"/>
  <c r="AC9" i="7"/>
  <c r="L11" i="9"/>
  <c r="AC11" i="7"/>
  <c r="AC13" i="7"/>
  <c r="AC16" i="7"/>
  <c r="L17" i="9"/>
  <c r="AC17" i="7"/>
  <c r="L19" i="9"/>
  <c r="AC19" i="7"/>
  <c r="L20" i="9"/>
  <c r="AC20" i="7"/>
  <c r="L22" i="9"/>
  <c r="AC22" i="7"/>
  <c r="L25" i="9"/>
  <c r="AC25" i="7"/>
  <c r="L26" i="9"/>
  <c r="AC26" i="7"/>
  <c r="AC27" i="7"/>
  <c r="L28" i="9"/>
  <c r="AC28" i="7"/>
  <c r="AC29" i="7"/>
  <c r="AC30" i="7"/>
  <c r="L31" i="9"/>
  <c r="AC31" i="7"/>
  <c r="Q9" i="5"/>
  <c r="Q12" i="5"/>
  <c r="Q13" i="5"/>
  <c r="R17" i="5"/>
  <c r="R20" i="5"/>
  <c r="Q15" i="3"/>
  <c r="Q17" i="3"/>
  <c r="Q19" i="3"/>
  <c r="Q20" i="3"/>
  <c r="J32" i="6"/>
  <c r="Y22" i="7"/>
  <c r="L8" i="2"/>
  <c r="L14" i="2"/>
  <c r="L25" i="2"/>
  <c r="R7" i="10"/>
  <c r="R8" i="10"/>
  <c r="R9" i="10"/>
  <c r="R10" i="10"/>
  <c r="R11" i="10"/>
  <c r="R12" i="10"/>
  <c r="Q7" i="9"/>
  <c r="R9" i="9"/>
  <c r="R10" i="9"/>
  <c r="R12" i="9"/>
  <c r="R13" i="9"/>
  <c r="Q14" i="9"/>
  <c r="Q22" i="9"/>
  <c r="R24" i="9"/>
  <c r="R26" i="9"/>
  <c r="R27" i="9"/>
  <c r="R5" i="9"/>
  <c r="R20" i="6"/>
  <c r="Q8" i="5"/>
  <c r="R18" i="5"/>
  <c r="Q20" i="5"/>
  <c r="Q21" i="5"/>
  <c r="Q16" i="3"/>
  <c r="Q18" i="3"/>
  <c r="Q20" i="4"/>
  <c r="Q19" i="2"/>
  <c r="Y23" i="7"/>
  <c r="Y27" i="7"/>
  <c r="S32" i="7"/>
  <c r="K32" i="7"/>
  <c r="L8" i="6"/>
  <c r="X8" i="7"/>
  <c r="L10" i="6"/>
  <c r="X10" i="7"/>
  <c r="Y10" i="7" s="1"/>
  <c r="L13" i="6"/>
  <c r="X13" i="7"/>
  <c r="Y13" i="7" s="1"/>
  <c r="L21" i="6"/>
  <c r="X21" i="7"/>
  <c r="Y21" i="7" s="1"/>
  <c r="L11" i="10"/>
  <c r="AE11" i="7"/>
  <c r="AE12" i="7"/>
  <c r="AG12" i="7" s="1"/>
  <c r="L12" i="10"/>
  <c r="AE13" i="7"/>
  <c r="AG13" i="7" s="1"/>
  <c r="L13" i="10"/>
  <c r="AE19" i="7"/>
  <c r="AG19" i="7" s="1"/>
  <c r="L19" i="10"/>
  <c r="L21" i="10"/>
  <c r="AE21" i="7"/>
  <c r="AG21" i="7" s="1"/>
  <c r="AE23" i="7"/>
  <c r="AG23" i="7" s="1"/>
  <c r="L23" i="10"/>
  <c r="L29" i="10"/>
  <c r="AE29" i="7"/>
  <c r="AG29" i="7" s="1"/>
  <c r="AE30" i="7"/>
  <c r="AG30" i="7" s="1"/>
  <c r="L30" i="10"/>
  <c r="J32" i="10"/>
  <c r="L5" i="10"/>
  <c r="AG5" i="7"/>
  <c r="L8" i="9"/>
  <c r="AA8" i="7"/>
  <c r="AC8" i="7" s="1"/>
  <c r="L10" i="9"/>
  <c r="AA10" i="7"/>
  <c r="AC10" i="7" s="1"/>
  <c r="AA12" i="7"/>
  <c r="AC12" i="7" s="1"/>
  <c r="L12" i="9"/>
  <c r="AA14" i="7"/>
  <c r="AC14" i="7" s="1"/>
  <c r="L14" i="9"/>
  <c r="AA15" i="7"/>
  <c r="AC15" i="7" s="1"/>
  <c r="L15" i="9"/>
  <c r="AA18" i="7"/>
  <c r="AC18" i="7" s="1"/>
  <c r="L18" i="9"/>
  <c r="AA21" i="7"/>
  <c r="AC21" i="7" s="1"/>
  <c r="L21" i="9"/>
  <c r="L23" i="9"/>
  <c r="AA23" i="7"/>
  <c r="AC23" i="7" s="1"/>
  <c r="AA24" i="7"/>
  <c r="AC24" i="7" s="1"/>
  <c r="L24" i="9"/>
  <c r="L5" i="9"/>
  <c r="J32" i="9"/>
  <c r="AA5" i="7"/>
  <c r="E5" i="7"/>
  <c r="E32" i="7" s="1"/>
  <c r="E32" i="2"/>
  <c r="L6" i="10"/>
  <c r="K32" i="10"/>
  <c r="AG6" i="7"/>
  <c r="AF7" i="7"/>
  <c r="L7" i="10"/>
  <c r="L8" i="10"/>
  <c r="AF8" i="7"/>
  <c r="AG8" i="7" s="1"/>
  <c r="AF9" i="7"/>
  <c r="AG9" i="7" s="1"/>
  <c r="L9" i="10"/>
  <c r="AF10" i="7"/>
  <c r="AG10" i="7" s="1"/>
  <c r="L10" i="10"/>
  <c r="R8" i="9"/>
  <c r="Q8" i="9"/>
  <c r="R28" i="9"/>
  <c r="Q28" i="9"/>
  <c r="R29" i="9"/>
  <c r="Q29" i="9"/>
  <c r="W32" i="7"/>
  <c r="Q7" i="5"/>
  <c r="R7" i="5"/>
  <c r="R11" i="5"/>
  <c r="Q11" i="5"/>
  <c r="Q23" i="5"/>
  <c r="R23" i="5"/>
  <c r="R25" i="5"/>
  <c r="Q25" i="5"/>
  <c r="R27" i="5"/>
  <c r="Q27" i="5"/>
  <c r="R28" i="5"/>
  <c r="Q28" i="5"/>
  <c r="R29" i="5"/>
  <c r="Q29" i="5"/>
  <c r="Q7" i="3"/>
  <c r="R7" i="3"/>
  <c r="Q9" i="3"/>
  <c r="R9" i="3"/>
  <c r="Q11" i="3"/>
  <c r="R11" i="3"/>
  <c r="Q13" i="3"/>
  <c r="R13" i="3"/>
  <c r="R23" i="3"/>
  <c r="Q23" i="3"/>
  <c r="R24" i="3"/>
  <c r="Q24" i="3"/>
  <c r="Q26" i="3"/>
  <c r="R26" i="3"/>
  <c r="R28" i="3"/>
  <c r="Q28" i="3"/>
  <c r="Q29" i="3"/>
  <c r="R29" i="3"/>
  <c r="R30" i="3"/>
  <c r="Q30" i="3"/>
  <c r="Q5" i="3"/>
  <c r="R5" i="3"/>
  <c r="Q6" i="4"/>
  <c r="R6" i="4"/>
  <c r="R7" i="4"/>
  <c r="Q7" i="4"/>
  <c r="R9" i="4"/>
  <c r="Q9" i="4"/>
  <c r="Q11" i="4"/>
  <c r="R11" i="4"/>
  <c r="Q14" i="4"/>
  <c r="R14" i="4"/>
  <c r="Q30" i="4"/>
  <c r="R30" i="4"/>
  <c r="R13" i="2"/>
  <c r="Q13" i="2"/>
  <c r="Q29" i="2"/>
  <c r="R29" i="2"/>
  <c r="L32" i="5" l="1"/>
  <c r="I5" i="7"/>
  <c r="G32" i="7"/>
  <c r="P32" i="7"/>
  <c r="Q5" i="7"/>
  <c r="Q32" i="7" s="1"/>
  <c r="O32" i="7"/>
  <c r="U6" i="7"/>
  <c r="U32" i="7" s="1"/>
  <c r="T32" i="7"/>
  <c r="M9" i="7"/>
  <c r="M32" i="7" s="1"/>
  <c r="L32" i="7"/>
  <c r="H32" i="7"/>
  <c r="I9" i="7"/>
  <c r="L32" i="3"/>
  <c r="L32" i="4"/>
  <c r="L32" i="2"/>
  <c r="L32" i="6"/>
  <c r="X32" i="7"/>
  <c r="Y8" i="7"/>
  <c r="Y32" i="7" s="1"/>
  <c r="L32" i="9"/>
  <c r="AC5" i="7"/>
  <c r="AC32" i="7" s="1"/>
  <c r="AA32" i="7"/>
  <c r="L32" i="10"/>
  <c r="AG11" i="7"/>
  <c r="AE32" i="7"/>
  <c r="AG7" i="7"/>
  <c r="AF32" i="7"/>
  <c r="I32" i="7" l="1"/>
  <c r="AG32" i="7"/>
</calcChain>
</file>

<file path=xl/sharedStrings.xml><?xml version="1.0" encoding="utf-8"?>
<sst xmlns="http://schemas.openxmlformats.org/spreadsheetml/2006/main" count="981" uniqueCount="80">
  <si>
    <t>NO</t>
  </si>
  <si>
    <t>KOMPONEN KPI</t>
  </si>
  <si>
    <t>SUB KOMPONEN KPI</t>
  </si>
  <si>
    <t>BOBOT KPI</t>
  </si>
  <si>
    <t>TARGET BULANAN</t>
  </si>
  <si>
    <t>TARGET TAHUNAN</t>
  </si>
  <si>
    <t>REALISASI</t>
  </si>
  <si>
    <t>ACH BULANAN</t>
  </si>
  <si>
    <t>NILAI KPI BULANAN</t>
  </si>
  <si>
    <t>ACH TAHUNAN</t>
  </si>
  <si>
    <t>NILAI KPI TAHUNAN</t>
  </si>
  <si>
    <t>OUTSTANDING LOAN</t>
  </si>
  <si>
    <t>OSL AKTIF RATA-RATA GADAI</t>
  </si>
  <si>
    <t>OSL AKTIF RATA-RATA NON GADAI</t>
  </si>
  <si>
    <t>OSL AKTIF RATA-RATA EMAS</t>
  </si>
  <si>
    <t>OSL GROSS POSISI</t>
  </si>
  <si>
    <t>LABA USAHA</t>
  </si>
  <si>
    <t>CIR</t>
  </si>
  <si>
    <t>NASABAH</t>
  </si>
  <si>
    <t>NASABAH BARU</t>
  </si>
  <si>
    <t>NASABAH BARU AGEN</t>
  </si>
  <si>
    <t>NASABAH PEMBIAYAAN TAHUNAN</t>
  </si>
  <si>
    <t>NASABAH TABUNGAN EMAS</t>
  </si>
  <si>
    <t>KUALITAS KREDIT</t>
  </si>
  <si>
    <t>NPL GADAI</t>
  </si>
  <si>
    <t>NPL NON GADAI</t>
  </si>
  <si>
    <t>NPL EMAS</t>
  </si>
  <si>
    <t>LAR GADAI</t>
  </si>
  <si>
    <t>LAR NON GADAI</t>
  </si>
  <si>
    <t>LAR EMAS</t>
  </si>
  <si>
    <t>REVAMP PEGADAIAN BRAND</t>
  </si>
  <si>
    <t>BRAND AWARENESS</t>
  </si>
  <si>
    <t>GOLD ECOSYSTEM</t>
  </si>
  <si>
    <t>DEPOSITO EMAS</t>
  </si>
  <si>
    <t>TABUNGAN EMAS</t>
  </si>
  <si>
    <t>GRAMASI PRODUK GALERI 24</t>
  </si>
  <si>
    <t>PEGADAIAN DIGITAL TRING!</t>
  </si>
  <si>
    <t>NASABAH TRING!</t>
  </si>
  <si>
    <t>OSL LAYANAN TRING!</t>
  </si>
  <si>
    <t>FREKUENSI TRANSAKSI TRING!</t>
  </si>
  <si>
    <t>SINERGI HOLDING UMI</t>
  </si>
  <si>
    <t>CASHLESS DISBURSEMENT</t>
  </si>
  <si>
    <t>OSL SINERGI HOLDING</t>
  </si>
  <si>
    <t>TE SINERGI HOLDING</t>
  </si>
  <si>
    <t>KPI STRETCH GOAL</t>
  </si>
  <si>
    <t>KONSOL</t>
  </si>
  <si>
    <t>CAPPING</t>
  </si>
  <si>
    <t>RKAP</t>
  </si>
  <si>
    <t>EXCEED</t>
  </si>
  <si>
    <t>HARI INI</t>
  </si>
  <si>
    <t>DELTA HARIAN</t>
  </si>
  <si>
    <t>TARGET</t>
  </si>
  <si>
    <t>KPI TAHUNAN</t>
  </si>
  <si>
    <t>TOTAL</t>
  </si>
  <si>
    <t>Unlimited</t>
  </si>
  <si>
    <t>ACH (%)</t>
  </si>
  <si>
    <t>KPI HARI KEMARIN</t>
  </si>
  <si>
    <t>KEMARIN</t>
  </si>
  <si>
    <t>KPI INDIVIDU</t>
  </si>
  <si>
    <t>INDEX</t>
  </si>
  <si>
    <t>KPI</t>
  </si>
  <si>
    <t>SELISIH TARGET</t>
  </si>
  <si>
    <t>DELTA</t>
  </si>
  <si>
    <t>TEGALBOTO</t>
  </si>
  <si>
    <t>BASUKI RAHMAD</t>
  </si>
  <si>
    <t>S PARMAN</t>
  </si>
  <si>
    <t>KALISAT</t>
  </si>
  <si>
    <t>MAYANG</t>
  </si>
  <si>
    <t>COLO SUMBER JATI</t>
  </si>
  <si>
    <t>COLO SUMBERJATI</t>
  </si>
  <si>
    <t>14200 - CP TEGALBOTO (konsolidasi)</t>
  </si>
  <si>
    <t>14200 - CP TEGALBOTO (outlet)</t>
  </si>
  <si>
    <t>14201 - UPC BASUKI RAHMAD</t>
  </si>
  <si>
    <t>14202 - UPC S PARMAN</t>
  </si>
  <si>
    <t>14204 - UPC KALISAT</t>
  </si>
  <si>
    <t>14205 - UPC MAYANG</t>
  </si>
  <si>
    <t>17506 - COLO SUMBERJATI</t>
  </si>
  <si>
    <t>SUMBERJATI</t>
  </si>
  <si>
    <t>Note: Input hanya pada sel yang tdk berwarna ya gaaeeess!!!!!!!!!!!!</t>
  </si>
  <si>
    <t>REKAP KPI CP TEGALBOTO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</si>
</sst>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#,##0.00_ ;\-#,##0.00\ "/>
    <numFmt numFmtId="166" formatCode="[$-421]dd\ mmmm\ yyyy;@"/>
  </numFmts>
  <fonts count="5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63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1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/>
    <xf numFmtId="164" fontId="0" fillId="0" borderId="3" xfId="1" applyNumberFormat="1" applyFont="1" applyBorder="1"/>
    <xf numFmtId="2" fontId="0" fillId="0" borderId="3" xfId="0" applyNumberFormat="1" applyBorder="1"/>
    <xf numFmtId="1" fontId="0" fillId="0" borderId="3" xfId="0" applyNumberFormat="1" applyBorder="1"/>
    <xf numFmtId="3" fontId="0" fillId="0" borderId="3" xfId="0" applyNumberFormat="1" applyBorder="1"/>
    <xf numFmtId="0" fontId="0" fillId="0" borderId="3" xfId="0" applyBorder="1" applyAlignment="1">
      <alignment horizontal="center"/>
    </xf>
    <xf numFmtId="0" fontId="4" fillId="3" borderId="3" xfId="0" applyFont="1" applyFill="1" applyBorder="1"/>
    <xf numFmtId="164" fontId="0" fillId="0" borderId="3" xfId="0" applyNumberFormat="1" applyBorder="1"/>
    <xf numFmtId="4" fontId="0" fillId="0" borderId="3" xfId="0" applyNumberFormat="1" applyBorder="1"/>
    <xf numFmtId="0" fontId="0" fillId="4" borderId="0" xfId="0" applyFill="1"/>
    <xf numFmtId="0" fontId="0" fillId="2" borderId="0" xfId="0" applyFill="1"/>
    <xf numFmtId="0" fontId="2" fillId="4" borderId="0" xfId="0" applyFont="1" applyFill="1" applyAlignment="1">
      <alignment horizontal="center" vertical="center"/>
    </xf>
    <xf numFmtId="0" fontId="0" fillId="6" borderId="3" xfId="0" applyFill="1" applyBorder="1"/>
    <xf numFmtId="0" fontId="3" fillId="3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43" fontId="0" fillId="0" borderId="3" xfId="0" applyNumberFormat="1" applyBorder="1"/>
    <xf numFmtId="0" fontId="0" fillId="6" borderId="3" xfId="0" applyFill="1" applyBorder="1" applyAlignment="1">
      <alignment horizontal="center" vertical="center"/>
    </xf>
    <xf numFmtId="0" fontId="0" fillId="7" borderId="3" xfId="0" applyFill="1" applyBorder="1"/>
    <xf numFmtId="43" fontId="0" fillId="0" borderId="3" xfId="1" applyFont="1" applyBorder="1"/>
    <xf numFmtId="0" fontId="0" fillId="7" borderId="3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/>
    <xf numFmtId="165" fontId="0" fillId="0" borderId="3" xfId="1" applyNumberFormat="1" applyFont="1" applyBorder="1"/>
    <xf numFmtId="1" fontId="0" fillId="0" borderId="0" xfId="0" applyNumberFormat="1"/>
    <xf numFmtId="1" fontId="0" fillId="4" borderId="0" xfId="0" applyNumberFormat="1" applyFill="1"/>
    <xf numFmtId="1" fontId="0" fillId="2" borderId="0" xfId="0" applyNumberFormat="1" applyFill="1"/>
    <xf numFmtId="166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1" fontId="0" fillId="4" borderId="0" xfId="0" applyNumberFormat="1" applyFill="1" applyAlignment="1">
      <alignment horizontal="center"/>
    </xf>
    <xf numFmtId="0" fontId="0" fillId="2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0" fillId="2" borderId="0" xfId="1" applyNumberFormat="1" applyFont="1" applyFill="1" applyBorder="1" applyAlignment="1">
      <alignment horizontal="right" vertical="center"/>
    </xf>
    <xf numFmtId="1" fontId="0" fillId="2" borderId="0" xfId="0" applyNumberFormat="1" applyFill="1" applyAlignment="1">
      <alignment horizontal="right" vertical="center"/>
    </xf>
    <xf numFmtId="11" fontId="2" fillId="0" borderId="3" xfId="0" applyNumberFormat="1" applyFont="1" applyBorder="1" applyAlignment="1">
      <alignment horizontal="center" vertical="center"/>
    </xf>
    <xf numFmtId="1" fontId="0" fillId="2" borderId="0" xfId="1" applyNumberFormat="1" applyFont="1" applyFill="1" applyBorder="1" applyAlignment="1">
      <alignment horizontal="right"/>
    </xf>
    <xf numFmtId="2" fontId="0" fillId="0" borderId="0" xfId="0" applyNumberFormat="1"/>
    <xf numFmtId="2" fontId="2" fillId="2" borderId="0" xfId="0" applyNumberFormat="1" applyFont="1" applyFill="1" applyAlignment="1">
      <alignment horizontal="center" vertical="center"/>
    </xf>
    <xf numFmtId="164" fontId="0" fillId="2" borderId="0" xfId="1" applyNumberFormat="1" applyFont="1" applyFill="1" applyAlignment="1">
      <alignment horizontal="right" vertical="center"/>
    </xf>
    <xf numFmtId="3" fontId="0" fillId="2" borderId="0" xfId="0" applyNumberFormat="1" applyFill="1" applyAlignment="1">
      <alignment horizontal="right" vertical="center"/>
    </xf>
    <xf numFmtId="0" fontId="2" fillId="2" borderId="0" xfId="0" applyFont="1" applyFill="1" applyAlignment="1">
      <alignment horizontal="left"/>
    </xf>
    <xf numFmtId="0" fontId="2" fillId="5" borderId="9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</cellXfs>
  <cellStyles count="3">
    <cellStyle name="Comma" xfId="1" builtinId="3"/>
    <cellStyle name="Normal" xfId="0" builtinId="0"/>
    <cellStyle name="Normal 2" xfId="2" xr:uid="{E272B8EF-A06B-423D-A397-2CC4FA6BD0CE}"/>
  </cellStyles>
  <dxfs count="4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colors>
    <mruColors>
      <color rgb="FF0086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1"/>
  <sheetViews>
    <sheetView tabSelected="1" topLeftCell="A176" zoomScaleNormal="50" workbookViewId="0">
      <selection activeCell="N202" sqref="N202"/>
    </sheetView>
  </sheetViews>
  <sheetFormatPr defaultRowHeight="15" x14ac:dyDescent="0.25"/>
  <cols>
    <col min="1" max="1" width="3.42578125" bestFit="1" customWidth="1"/>
    <col min="2" max="2" width="29.42578125" bestFit="1" customWidth="1"/>
    <col min="3" max="3" width="35.28515625" bestFit="1" customWidth="1"/>
    <col min="4" max="4" width="10.42578125" bestFit="1" customWidth="1"/>
    <col min="5" max="5" width="1.42578125" style="32" customWidth="1"/>
    <col min="6" max="6" width="17.42578125" style="40" bestFit="1" customWidth="1"/>
    <col min="7" max="7" width="15.85546875" style="32" customWidth="1"/>
    <col min="8" max="8" width="14" style="32" bestFit="1" customWidth="1"/>
    <col min="9" max="9" width="21.140625" style="32" bestFit="1" customWidth="1"/>
    <col min="10" max="10" width="14" style="32" bestFit="1" customWidth="1"/>
    <col min="11" max="11" width="21.140625" style="36" bestFit="1" customWidth="1"/>
    <col min="12" max="12" width="3.5703125" customWidth="1"/>
    <col min="13" max="13" width="20.5703125" customWidth="1"/>
    <col min="14" max="14" width="2.7109375" customWidth="1"/>
    <col min="15" max="15" width="11.5703125" bestFit="1" customWidth="1"/>
    <col min="16" max="16" width="16.85546875" bestFit="1" customWidth="1"/>
    <col min="17" max="17" width="16.28515625" bestFit="1" customWidth="1"/>
    <col min="18" max="18" width="14.140625" bestFit="1" customWidth="1"/>
    <col min="19" max="20" width="11.85546875" bestFit="1" customWidth="1"/>
    <col min="21" max="21" width="17.28515625" bestFit="1" customWidth="1"/>
  </cols>
  <sheetData>
    <row r="1" spans="1:21" ht="15.75" thickBot="1" x14ac:dyDescent="0.3">
      <c r="A1" s="53" t="s">
        <v>45</v>
      </c>
      <c r="B1" s="54"/>
      <c r="C1" s="35">
        <v>46178</v>
      </c>
      <c r="O1" s="50" t="s">
        <v>56</v>
      </c>
      <c r="P1" s="50"/>
    </row>
    <row r="2" spans="1:21" ht="14.45" customHeight="1" x14ac:dyDescent="0.25">
      <c r="A2" s="17" t="s">
        <v>0</v>
      </c>
      <c r="B2" s="17" t="s">
        <v>1</v>
      </c>
      <c r="C2" s="17" t="s">
        <v>2</v>
      </c>
      <c r="D2" s="17" t="s">
        <v>3</v>
      </c>
      <c r="E2" s="33" t="s">
        <v>4</v>
      </c>
      <c r="F2" s="41" t="s">
        <v>5</v>
      </c>
      <c r="G2" s="33" t="s">
        <v>6</v>
      </c>
      <c r="H2" s="33" t="s">
        <v>7</v>
      </c>
      <c r="I2" s="33" t="s">
        <v>8</v>
      </c>
      <c r="J2" s="33" t="s">
        <v>9</v>
      </c>
      <c r="K2" s="37" t="s">
        <v>10</v>
      </c>
      <c r="M2" s="51" t="s">
        <v>78</v>
      </c>
      <c r="O2" s="19" t="s">
        <v>45</v>
      </c>
      <c r="P2" s="19" t="s">
        <v>63</v>
      </c>
      <c r="Q2" s="19" t="s">
        <v>64</v>
      </c>
      <c r="R2" s="19" t="s">
        <v>65</v>
      </c>
      <c r="S2" s="19" t="s">
        <v>66</v>
      </c>
      <c r="T2" s="19" t="s">
        <v>67</v>
      </c>
      <c r="U2" s="19" t="s">
        <v>77</v>
      </c>
    </row>
    <row r="3" spans="1:21" x14ac:dyDescent="0.25">
      <c r="A3" s="18">
        <v>1</v>
      </c>
      <c r="B3" s="18" t="s">
        <v>11</v>
      </c>
      <c r="C3" s="18" t="s">
        <v>12</v>
      </c>
      <c r="D3" s="18">
        <v>10</v>
      </c>
      <c r="E3" s="34">
        <v>101335404812</v>
      </c>
      <c r="F3" s="48">
        <v>105565098908</v>
      </c>
      <c r="G3">
        <v>121174958031</v>
      </c>
      <c r="H3">
        <v>118.36</v>
      </c>
      <c r="I3">
        <v>11.84</v>
      </c>
      <c r="J3">
        <v>114.79</v>
      </c>
      <c r="K3">
        <v>11.48</v>
      </c>
      <c r="M3" s="52"/>
      <c r="O3">
        <v>11.41</v>
      </c>
      <c r="P3">
        <v>11.7</v>
      </c>
      <c r="Q3">
        <v>13.49</v>
      </c>
      <c r="R3">
        <v>13.97</v>
      </c>
      <c r="S3">
        <v>11.45</v>
      </c>
      <c r="T3">
        <v>16.18</v>
      </c>
      <c r="U3">
        <v>6.1</v>
      </c>
    </row>
    <row r="4" spans="1:21" x14ac:dyDescent="0.25">
      <c r="A4" s="18">
        <v>2</v>
      </c>
      <c r="B4" s="18" t="s">
        <v>11</v>
      </c>
      <c r="C4" s="18" t="s">
        <v>13</v>
      </c>
      <c r="D4" s="18">
        <v>5</v>
      </c>
      <c r="E4" s="34">
        <v>19037305620</v>
      </c>
      <c r="F4" s="48">
        <v>19243924449</v>
      </c>
      <c r="G4">
        <v>18083084925</v>
      </c>
      <c r="H4">
        <v>94.73</v>
      </c>
      <c r="I4">
        <v>4.74</v>
      </c>
      <c r="J4">
        <v>93.97</v>
      </c>
      <c r="K4">
        <v>4.7</v>
      </c>
      <c r="M4" s="52"/>
      <c r="O4">
        <v>4.7</v>
      </c>
      <c r="P4">
        <v>4.6900000000000004</v>
      </c>
      <c r="S4">
        <v>4.2300000000000004</v>
      </c>
    </row>
    <row r="5" spans="1:21" x14ac:dyDescent="0.25">
      <c r="A5" s="18">
        <v>3</v>
      </c>
      <c r="B5" s="18" t="s">
        <v>11</v>
      </c>
      <c r="C5" s="18" t="s">
        <v>14</v>
      </c>
      <c r="D5" s="18">
        <v>7.5</v>
      </c>
      <c r="E5" s="34">
        <v>15831048593</v>
      </c>
      <c r="F5" s="48">
        <v>17752748148</v>
      </c>
      <c r="G5">
        <v>19450849057</v>
      </c>
      <c r="H5">
        <v>119.45</v>
      </c>
      <c r="I5">
        <v>8.9600000000000009</v>
      </c>
      <c r="J5">
        <v>109.57</v>
      </c>
      <c r="K5">
        <v>8.2200000000000006</v>
      </c>
      <c r="M5" s="52"/>
      <c r="O5">
        <v>8.16</v>
      </c>
      <c r="P5">
        <v>9.82</v>
      </c>
      <c r="Q5">
        <v>12.15</v>
      </c>
      <c r="R5">
        <v>9.77</v>
      </c>
      <c r="S5">
        <v>7.1</v>
      </c>
      <c r="T5">
        <v>6</v>
      </c>
      <c r="U5">
        <v>5.91</v>
      </c>
    </row>
    <row r="6" spans="1:21" x14ac:dyDescent="0.25">
      <c r="A6" s="18">
        <v>4</v>
      </c>
      <c r="B6" s="18" t="s">
        <v>11</v>
      </c>
      <c r="C6" s="18" t="s">
        <v>15</v>
      </c>
      <c r="D6" s="18">
        <v>5</v>
      </c>
      <c r="E6" s="34">
        <v>136702016153</v>
      </c>
      <c r="F6" s="48">
        <v>147179617614</v>
      </c>
      <c r="G6">
        <v>165937167123</v>
      </c>
      <c r="H6">
        <v>110</v>
      </c>
      <c r="I6">
        <v>5.5</v>
      </c>
      <c r="J6">
        <v>110</v>
      </c>
      <c r="K6">
        <v>5.5</v>
      </c>
      <c r="M6" s="52"/>
      <c r="O6">
        <v>5.5</v>
      </c>
      <c r="P6">
        <v>5.5</v>
      </c>
      <c r="Q6">
        <v>5.45</v>
      </c>
      <c r="R6">
        <v>5.5</v>
      </c>
      <c r="S6">
        <v>5.49</v>
      </c>
      <c r="T6">
        <v>5.5</v>
      </c>
      <c r="U6">
        <v>1.44</v>
      </c>
    </row>
    <row r="7" spans="1:21" x14ac:dyDescent="0.25">
      <c r="A7" s="18">
        <v>5</v>
      </c>
      <c r="B7" s="18" t="s">
        <v>16</v>
      </c>
      <c r="C7" s="18" t="s">
        <v>16</v>
      </c>
      <c r="D7" s="18">
        <v>10</v>
      </c>
      <c r="E7" s="34">
        <v>6716119032</v>
      </c>
      <c r="F7" s="48">
        <v>21028689608</v>
      </c>
      <c r="G7">
        <v>9123839048.9314995</v>
      </c>
      <c r="H7">
        <v>89.52</v>
      </c>
      <c r="I7">
        <v>8.9499999999999993</v>
      </c>
      <c r="J7">
        <v>43.39</v>
      </c>
      <c r="K7">
        <v>4.34</v>
      </c>
      <c r="M7" s="52"/>
      <c r="O7">
        <v>4.34</v>
      </c>
      <c r="P7">
        <v>4.3600000000000003</v>
      </c>
      <c r="Q7">
        <v>4.24</v>
      </c>
      <c r="R7">
        <v>4.09</v>
      </c>
      <c r="S7">
        <v>4.71</v>
      </c>
      <c r="T7">
        <v>4.3499999999999996</v>
      </c>
      <c r="U7">
        <v>1.68</v>
      </c>
    </row>
    <row r="8" spans="1:21" x14ac:dyDescent="0.25">
      <c r="A8" s="18">
        <v>6</v>
      </c>
      <c r="B8" s="18" t="s">
        <v>17</v>
      </c>
      <c r="C8" s="18" t="s">
        <v>17</v>
      </c>
      <c r="D8" s="18"/>
      <c r="E8" s="34"/>
      <c r="F8" s="43"/>
      <c r="G8">
        <v>20.059999999999999</v>
      </c>
      <c r="H8">
        <v>0</v>
      </c>
      <c r="I8"/>
      <c r="J8">
        <v>0</v>
      </c>
      <c r="K8"/>
    </row>
    <row r="9" spans="1:21" x14ac:dyDescent="0.25">
      <c r="A9" s="18">
        <v>7</v>
      </c>
      <c r="B9" s="18" t="s">
        <v>18</v>
      </c>
      <c r="C9" s="18" t="s">
        <v>19</v>
      </c>
      <c r="D9" s="18">
        <v>5</v>
      </c>
      <c r="E9" s="34">
        <v>2781.864591</v>
      </c>
      <c r="F9" s="49">
        <v>8990</v>
      </c>
      <c r="G9">
        <v>4345</v>
      </c>
      <c r="H9">
        <v>106.66</v>
      </c>
      <c r="I9">
        <v>5.33</v>
      </c>
      <c r="J9">
        <v>48.33</v>
      </c>
      <c r="K9">
        <v>2.42</v>
      </c>
      <c r="O9">
        <v>2.0699999999999998</v>
      </c>
      <c r="P9">
        <v>4.84</v>
      </c>
      <c r="Q9">
        <v>1.06</v>
      </c>
      <c r="R9">
        <v>1.51</v>
      </c>
      <c r="S9">
        <v>1.4</v>
      </c>
      <c r="T9">
        <v>0.94</v>
      </c>
      <c r="U9">
        <v>0.3</v>
      </c>
    </row>
    <row r="10" spans="1:21" x14ac:dyDescent="0.25">
      <c r="A10" s="18">
        <v>8</v>
      </c>
      <c r="B10" s="18" t="s">
        <v>18</v>
      </c>
      <c r="C10" s="18" t="s">
        <v>20</v>
      </c>
      <c r="D10" s="18">
        <v>2.5</v>
      </c>
      <c r="E10" s="34">
        <v>133</v>
      </c>
      <c r="F10" s="49">
        <v>400</v>
      </c>
      <c r="G10">
        <v>351</v>
      </c>
      <c r="H10">
        <v>110</v>
      </c>
      <c r="I10">
        <v>2.75</v>
      </c>
      <c r="J10">
        <v>87.75</v>
      </c>
      <c r="K10">
        <v>2.19</v>
      </c>
      <c r="O10">
        <v>1.85</v>
      </c>
      <c r="P10">
        <v>2.75</v>
      </c>
      <c r="Q10">
        <v>1.71</v>
      </c>
      <c r="R10">
        <v>1.98</v>
      </c>
      <c r="S10">
        <v>2.75</v>
      </c>
      <c r="T10">
        <v>1.29</v>
      </c>
      <c r="U10">
        <v>0.25</v>
      </c>
    </row>
    <row r="11" spans="1:21" x14ac:dyDescent="0.25">
      <c r="A11" s="18">
        <v>9</v>
      </c>
      <c r="B11" s="18" t="s">
        <v>18</v>
      </c>
      <c r="C11" s="18" t="s">
        <v>21</v>
      </c>
      <c r="D11" s="18">
        <v>5</v>
      </c>
      <c r="E11" s="34">
        <v>18493</v>
      </c>
      <c r="F11" s="49">
        <v>27491</v>
      </c>
      <c r="G11">
        <v>18503</v>
      </c>
      <c r="H11">
        <v>90.78</v>
      </c>
      <c r="I11">
        <v>4.54</v>
      </c>
      <c r="J11">
        <v>67.31</v>
      </c>
      <c r="K11">
        <v>3.37</v>
      </c>
      <c r="O11">
        <v>3.22</v>
      </c>
      <c r="P11">
        <v>3.64</v>
      </c>
      <c r="Q11">
        <v>2.79</v>
      </c>
      <c r="R11">
        <v>3.16</v>
      </c>
      <c r="S11">
        <v>3.38</v>
      </c>
      <c r="T11">
        <v>3</v>
      </c>
      <c r="U11">
        <v>1.01</v>
      </c>
    </row>
    <row r="12" spans="1:21" x14ac:dyDescent="0.25">
      <c r="A12" s="18">
        <v>10</v>
      </c>
      <c r="B12" s="18" t="s">
        <v>18</v>
      </c>
      <c r="C12" s="18" t="s">
        <v>22</v>
      </c>
      <c r="D12" s="18">
        <v>5</v>
      </c>
      <c r="E12" s="34">
        <v>2424</v>
      </c>
      <c r="F12" s="49">
        <v>2877</v>
      </c>
      <c r="G12">
        <v>2710</v>
      </c>
      <c r="H12">
        <v>107.11</v>
      </c>
      <c r="I12">
        <v>5.36</v>
      </c>
      <c r="J12">
        <v>94.2</v>
      </c>
      <c r="K12">
        <v>4.71</v>
      </c>
      <c r="O12">
        <v>4.68</v>
      </c>
      <c r="P12">
        <v>4.7</v>
      </c>
      <c r="Q12">
        <v>4.6399999999999997</v>
      </c>
      <c r="R12">
        <v>4.96</v>
      </c>
      <c r="S12">
        <v>4.79</v>
      </c>
      <c r="T12">
        <v>4.59</v>
      </c>
      <c r="U12">
        <v>2.39</v>
      </c>
    </row>
    <row r="13" spans="1:21" x14ac:dyDescent="0.25">
      <c r="A13" s="18">
        <v>11</v>
      </c>
      <c r="B13" s="18" t="s">
        <v>23</v>
      </c>
      <c r="C13" s="18" t="s">
        <v>24</v>
      </c>
      <c r="D13" s="18">
        <v>3</v>
      </c>
      <c r="E13" s="34">
        <v>0.28999999999999998</v>
      </c>
      <c r="F13" s="39">
        <v>0.31</v>
      </c>
      <c r="G13">
        <v>0.09</v>
      </c>
      <c r="H13">
        <v>110</v>
      </c>
      <c r="I13">
        <v>3.3</v>
      </c>
      <c r="J13">
        <v>110</v>
      </c>
      <c r="K13">
        <v>3.3</v>
      </c>
      <c r="O13">
        <v>3.3</v>
      </c>
      <c r="P13">
        <v>3.3</v>
      </c>
      <c r="Q13">
        <v>3.3</v>
      </c>
      <c r="R13">
        <v>3.3</v>
      </c>
      <c r="S13">
        <v>3.3</v>
      </c>
      <c r="T13">
        <v>3.3</v>
      </c>
      <c r="U13">
        <v>4.4000000000000004</v>
      </c>
    </row>
    <row r="14" spans="1:21" x14ac:dyDescent="0.25">
      <c r="A14" s="18">
        <v>12</v>
      </c>
      <c r="B14" s="18" t="s">
        <v>23</v>
      </c>
      <c r="C14" s="18" t="s">
        <v>25</v>
      </c>
      <c r="D14" s="18">
        <v>2</v>
      </c>
      <c r="E14" s="34">
        <v>3.18</v>
      </c>
      <c r="F14" s="39">
        <v>3.06</v>
      </c>
      <c r="G14">
        <v>2.2599999999999998</v>
      </c>
      <c r="H14">
        <v>110</v>
      </c>
      <c r="I14">
        <v>2.2000000000000002</v>
      </c>
      <c r="J14">
        <v>110</v>
      </c>
      <c r="K14">
        <v>2.2000000000000002</v>
      </c>
      <c r="O14">
        <v>1.75</v>
      </c>
      <c r="P14">
        <v>1.96</v>
      </c>
      <c r="Q14">
        <v>2.2000000000000002</v>
      </c>
      <c r="R14">
        <v>2.2000000000000002</v>
      </c>
      <c r="S14">
        <v>1.1100000000000001</v>
      </c>
      <c r="T14">
        <v>2.2000000000000002</v>
      </c>
    </row>
    <row r="15" spans="1:21" x14ac:dyDescent="0.25">
      <c r="A15" s="18">
        <v>13</v>
      </c>
      <c r="B15" s="18" t="s">
        <v>23</v>
      </c>
      <c r="C15" s="18" t="s">
        <v>26</v>
      </c>
      <c r="D15" s="18">
        <v>2.5</v>
      </c>
      <c r="E15" s="34">
        <v>0.87</v>
      </c>
      <c r="F15" s="39">
        <v>0.87</v>
      </c>
      <c r="G15">
        <v>0.16</v>
      </c>
      <c r="H15">
        <v>110</v>
      </c>
      <c r="I15">
        <v>2.75</v>
      </c>
      <c r="J15">
        <v>110</v>
      </c>
      <c r="K15">
        <v>2.75</v>
      </c>
      <c r="O15">
        <v>2.75</v>
      </c>
      <c r="P15">
        <v>2.75</v>
      </c>
      <c r="Q15">
        <v>2.75</v>
      </c>
      <c r="R15">
        <v>2.75</v>
      </c>
      <c r="S15">
        <v>2.75</v>
      </c>
      <c r="T15">
        <v>2.75</v>
      </c>
      <c r="U15">
        <v>3.85</v>
      </c>
    </row>
    <row r="16" spans="1:21" x14ac:dyDescent="0.25">
      <c r="A16" s="18">
        <v>14</v>
      </c>
      <c r="B16" s="18" t="s">
        <v>23</v>
      </c>
      <c r="C16" s="18" t="s">
        <v>27</v>
      </c>
      <c r="D16" s="18">
        <v>3</v>
      </c>
      <c r="E16" s="34">
        <v>5.0599999999999996</v>
      </c>
      <c r="F16" s="39">
        <v>2.75</v>
      </c>
      <c r="G16">
        <v>6.52</v>
      </c>
      <c r="H16">
        <v>81.44</v>
      </c>
      <c r="I16">
        <v>2.44</v>
      </c>
      <c r="J16">
        <v>85.89</v>
      </c>
      <c r="K16">
        <v>2.58</v>
      </c>
      <c r="O16" s="46">
        <v>2.65</v>
      </c>
      <c r="P16">
        <v>2.72</v>
      </c>
      <c r="Q16">
        <v>1.76</v>
      </c>
      <c r="R16">
        <v>2.89</v>
      </c>
      <c r="S16">
        <v>2.84</v>
      </c>
      <c r="T16">
        <v>3.3</v>
      </c>
      <c r="U16">
        <v>4.4000000000000004</v>
      </c>
    </row>
    <row r="17" spans="1:21" x14ac:dyDescent="0.25">
      <c r="A17" s="18">
        <v>15</v>
      </c>
      <c r="B17" s="18" t="s">
        <v>23</v>
      </c>
      <c r="C17" s="18" t="s">
        <v>28</v>
      </c>
      <c r="D17" s="18">
        <v>2</v>
      </c>
      <c r="E17" s="34">
        <v>14.48</v>
      </c>
      <c r="F17" s="39">
        <v>14.59</v>
      </c>
      <c r="G17">
        <v>12.77</v>
      </c>
      <c r="H17">
        <v>110</v>
      </c>
      <c r="I17">
        <v>2.2000000000000002</v>
      </c>
      <c r="J17">
        <v>110</v>
      </c>
      <c r="K17">
        <v>2.2000000000000002</v>
      </c>
      <c r="O17">
        <v>1.41</v>
      </c>
      <c r="P17">
        <v>1.59</v>
      </c>
      <c r="Q17">
        <v>2.2000000000000002</v>
      </c>
      <c r="R17">
        <v>2.2000000000000002</v>
      </c>
      <c r="S17">
        <v>1.1100000000000001</v>
      </c>
      <c r="T17">
        <v>0.73</v>
      </c>
    </row>
    <row r="18" spans="1:21" x14ac:dyDescent="0.25">
      <c r="A18" s="18">
        <v>16</v>
      </c>
      <c r="B18" s="18" t="s">
        <v>23</v>
      </c>
      <c r="C18" s="18" t="s">
        <v>29</v>
      </c>
      <c r="D18" s="18">
        <v>2.5</v>
      </c>
      <c r="E18" s="34">
        <v>10.82</v>
      </c>
      <c r="F18" s="39">
        <v>11.04</v>
      </c>
      <c r="G18">
        <v>7.09</v>
      </c>
      <c r="H18">
        <v>110</v>
      </c>
      <c r="I18">
        <v>2.75</v>
      </c>
      <c r="J18">
        <v>110</v>
      </c>
      <c r="K18">
        <v>2.75</v>
      </c>
      <c r="O18">
        <v>2.75</v>
      </c>
      <c r="P18">
        <v>2.75</v>
      </c>
      <c r="Q18">
        <v>2.75</v>
      </c>
      <c r="R18">
        <v>2.75</v>
      </c>
      <c r="S18">
        <v>1.56</v>
      </c>
      <c r="T18">
        <v>2.75</v>
      </c>
      <c r="U18">
        <v>1.37</v>
      </c>
    </row>
    <row r="19" spans="1:21" x14ac:dyDescent="0.25">
      <c r="A19" s="18">
        <v>17</v>
      </c>
      <c r="B19" s="18" t="s">
        <v>30</v>
      </c>
      <c r="C19" s="18" t="s">
        <v>31</v>
      </c>
      <c r="D19" s="18"/>
      <c r="E19" s="34"/>
      <c r="F19" s="43"/>
      <c r="G19"/>
      <c r="H19">
        <v>0</v>
      </c>
      <c r="I19"/>
      <c r="J19">
        <v>0</v>
      </c>
      <c r="K19"/>
    </row>
    <row r="20" spans="1:21" x14ac:dyDescent="0.25">
      <c r="A20" s="18">
        <v>18</v>
      </c>
      <c r="B20" s="18" t="s">
        <v>32</v>
      </c>
      <c r="C20" s="18" t="s">
        <v>33</v>
      </c>
      <c r="D20" s="18">
        <v>2.5</v>
      </c>
      <c r="E20" s="34">
        <v>4848</v>
      </c>
      <c r="F20" s="49">
        <v>6312</v>
      </c>
      <c r="G20">
        <v>3493</v>
      </c>
      <c r="H20">
        <v>66.7</v>
      </c>
      <c r="I20">
        <v>1.67</v>
      </c>
      <c r="J20">
        <v>55.34</v>
      </c>
      <c r="K20">
        <v>1.38</v>
      </c>
      <c r="O20">
        <v>1.37</v>
      </c>
      <c r="P20">
        <v>1.58</v>
      </c>
      <c r="Q20">
        <v>1.1399999999999999</v>
      </c>
      <c r="R20">
        <v>1.38</v>
      </c>
      <c r="S20">
        <v>0.45</v>
      </c>
      <c r="T20">
        <v>1.1200000000000001</v>
      </c>
      <c r="U20">
        <v>0</v>
      </c>
    </row>
    <row r="21" spans="1:21" x14ac:dyDescent="0.25">
      <c r="A21" s="18">
        <v>19</v>
      </c>
      <c r="B21" s="18" t="s">
        <v>32</v>
      </c>
      <c r="C21" s="18" t="s">
        <v>34</v>
      </c>
      <c r="D21" s="18">
        <v>2.5</v>
      </c>
      <c r="E21" s="34">
        <v>23697</v>
      </c>
      <c r="F21" s="49">
        <v>27153</v>
      </c>
      <c r="G21">
        <v>24585.093400000002</v>
      </c>
      <c r="H21">
        <v>101.29</v>
      </c>
      <c r="I21">
        <v>2.5299999999999998</v>
      </c>
      <c r="J21">
        <v>90.54</v>
      </c>
      <c r="K21">
        <v>2.2599999999999998</v>
      </c>
      <c r="O21">
        <v>2.25</v>
      </c>
      <c r="P21">
        <v>2.5099999999999998</v>
      </c>
      <c r="Q21">
        <v>2.0699999999999998</v>
      </c>
      <c r="R21">
        <v>1.84</v>
      </c>
      <c r="S21">
        <v>1.73</v>
      </c>
      <c r="T21">
        <v>1.47</v>
      </c>
      <c r="U21">
        <v>0</v>
      </c>
    </row>
    <row r="22" spans="1:21" x14ac:dyDescent="0.25">
      <c r="A22" s="18">
        <v>20</v>
      </c>
      <c r="B22" s="18" t="s">
        <v>32</v>
      </c>
      <c r="C22" s="18" t="s">
        <v>35</v>
      </c>
      <c r="D22" s="18">
        <v>5</v>
      </c>
      <c r="E22" s="34">
        <v>3267</v>
      </c>
      <c r="F22" s="49">
        <v>10944</v>
      </c>
      <c r="G22">
        <v>5735</v>
      </c>
      <c r="H22">
        <v>110</v>
      </c>
      <c r="I22">
        <v>5.5</v>
      </c>
      <c r="J22">
        <v>52.4</v>
      </c>
      <c r="K22">
        <v>2.62</v>
      </c>
      <c r="O22">
        <v>2.5</v>
      </c>
      <c r="P22">
        <v>4.08</v>
      </c>
      <c r="Q22">
        <v>2.58</v>
      </c>
      <c r="R22">
        <v>1.18</v>
      </c>
      <c r="S22">
        <v>1.95</v>
      </c>
      <c r="T22">
        <v>1.48</v>
      </c>
      <c r="U22">
        <v>0.1</v>
      </c>
    </row>
    <row r="23" spans="1:21" x14ac:dyDescent="0.25">
      <c r="A23" s="18">
        <v>21</v>
      </c>
      <c r="B23" s="18" t="s">
        <v>36</v>
      </c>
      <c r="C23" s="18" t="s">
        <v>37</v>
      </c>
      <c r="D23" s="18">
        <v>5</v>
      </c>
      <c r="E23" s="34">
        <v>2700</v>
      </c>
      <c r="F23" s="49">
        <v>8978</v>
      </c>
      <c r="G23">
        <v>7020</v>
      </c>
      <c r="H23">
        <v>110</v>
      </c>
      <c r="I23">
        <v>5.5</v>
      </c>
      <c r="J23">
        <v>78.19</v>
      </c>
      <c r="K23">
        <v>3.91</v>
      </c>
      <c r="O23">
        <v>3.71</v>
      </c>
      <c r="P23">
        <v>4.1900000000000004</v>
      </c>
      <c r="Q23">
        <v>3.99</v>
      </c>
      <c r="R23">
        <v>3.65</v>
      </c>
      <c r="S23">
        <v>4.28</v>
      </c>
      <c r="T23">
        <v>2.02</v>
      </c>
      <c r="U23">
        <v>0.57999999999999996</v>
      </c>
    </row>
    <row r="24" spans="1:21" x14ac:dyDescent="0.25">
      <c r="A24" s="18">
        <v>22</v>
      </c>
      <c r="B24" s="18" t="s">
        <v>36</v>
      </c>
      <c r="C24" s="18" t="s">
        <v>38</v>
      </c>
      <c r="D24" s="18">
        <v>5</v>
      </c>
      <c r="E24" s="34">
        <v>3473816911</v>
      </c>
      <c r="F24" s="48">
        <v>5988096541</v>
      </c>
      <c r="G24">
        <v>4732746985</v>
      </c>
      <c r="H24">
        <v>110</v>
      </c>
      <c r="I24">
        <v>5.5</v>
      </c>
      <c r="J24">
        <v>79.040000000000006</v>
      </c>
      <c r="K24">
        <v>3.95</v>
      </c>
      <c r="O24">
        <v>4.05</v>
      </c>
      <c r="P24">
        <v>5.5</v>
      </c>
      <c r="Q24">
        <v>4</v>
      </c>
      <c r="R24">
        <v>2.7</v>
      </c>
      <c r="S24">
        <v>3.36</v>
      </c>
      <c r="T24">
        <v>1.6</v>
      </c>
      <c r="U24">
        <v>0.97</v>
      </c>
    </row>
    <row r="25" spans="1:21" x14ac:dyDescent="0.25">
      <c r="A25" s="18">
        <v>23</v>
      </c>
      <c r="B25" s="18" t="s">
        <v>36</v>
      </c>
      <c r="C25" s="18" t="s">
        <v>39</v>
      </c>
      <c r="D25" s="18">
        <v>5</v>
      </c>
      <c r="E25" s="34">
        <v>28486</v>
      </c>
      <c r="F25" s="49">
        <v>94702</v>
      </c>
      <c r="G25">
        <v>33934</v>
      </c>
      <c r="H25">
        <v>77.88</v>
      </c>
      <c r="I25">
        <v>3.89</v>
      </c>
      <c r="J25">
        <v>35.83</v>
      </c>
      <c r="K25">
        <v>1.79</v>
      </c>
      <c r="O25">
        <v>1.64</v>
      </c>
      <c r="P25">
        <v>2.2799999999999998</v>
      </c>
      <c r="Q25">
        <v>1.46</v>
      </c>
      <c r="R25">
        <v>1.26</v>
      </c>
      <c r="S25">
        <v>1.75</v>
      </c>
      <c r="T25">
        <v>0.92</v>
      </c>
      <c r="U25">
        <v>0.22</v>
      </c>
    </row>
    <row r="26" spans="1:21" x14ac:dyDescent="0.25">
      <c r="A26" s="18">
        <v>24</v>
      </c>
      <c r="B26" s="18" t="s">
        <v>40</v>
      </c>
      <c r="C26" s="18" t="s">
        <v>41</v>
      </c>
      <c r="D26" s="18">
        <v>2</v>
      </c>
      <c r="E26" s="34">
        <v>78.760000000000005</v>
      </c>
      <c r="F26" s="39">
        <v>78.760000000000005</v>
      </c>
      <c r="G26">
        <v>77.94</v>
      </c>
      <c r="H26">
        <v>98.96</v>
      </c>
      <c r="I26">
        <v>1.98</v>
      </c>
      <c r="J26">
        <v>98.96</v>
      </c>
      <c r="K26">
        <v>1.98</v>
      </c>
      <c r="O26">
        <v>1.98</v>
      </c>
      <c r="P26">
        <v>1.83</v>
      </c>
      <c r="Q26">
        <v>1.96</v>
      </c>
      <c r="R26">
        <v>1.89</v>
      </c>
      <c r="S26">
        <v>2.14</v>
      </c>
      <c r="T26">
        <v>2.2000000000000002</v>
      </c>
      <c r="U26">
        <v>2.2000000000000002</v>
      </c>
    </row>
    <row r="27" spans="1:21" x14ac:dyDescent="0.25">
      <c r="A27" s="18">
        <v>25</v>
      </c>
      <c r="B27" s="18" t="s">
        <v>40</v>
      </c>
      <c r="C27" s="18" t="s">
        <v>42</v>
      </c>
      <c r="D27" s="18">
        <v>1.5</v>
      </c>
      <c r="E27" s="34">
        <v>351558701</v>
      </c>
      <c r="F27" s="48">
        <v>830889743</v>
      </c>
      <c r="G27">
        <v>1411178440</v>
      </c>
      <c r="H27">
        <v>110</v>
      </c>
      <c r="I27">
        <v>1.65</v>
      </c>
      <c r="J27">
        <v>110</v>
      </c>
      <c r="K27">
        <v>1.65</v>
      </c>
      <c r="O27">
        <v>1.65</v>
      </c>
      <c r="P27">
        <v>1.65</v>
      </c>
      <c r="Q27">
        <v>0.18</v>
      </c>
      <c r="R27">
        <v>1.65</v>
      </c>
      <c r="S27">
        <v>1.65</v>
      </c>
      <c r="T27">
        <v>1.65</v>
      </c>
      <c r="U27">
        <v>1.22</v>
      </c>
    </row>
    <row r="28" spans="1:21" x14ac:dyDescent="0.25">
      <c r="A28" s="18">
        <v>26</v>
      </c>
      <c r="B28" s="18" t="s">
        <v>40</v>
      </c>
      <c r="C28" s="18" t="s">
        <v>43</v>
      </c>
      <c r="D28" s="18">
        <v>1.5</v>
      </c>
      <c r="E28" s="34">
        <v>3023</v>
      </c>
      <c r="F28" s="49">
        <v>3711</v>
      </c>
      <c r="G28">
        <v>2044.4244000000001</v>
      </c>
      <c r="H28">
        <v>64.430000000000007</v>
      </c>
      <c r="I28">
        <v>0.97</v>
      </c>
      <c r="J28">
        <v>55.09</v>
      </c>
      <c r="K28">
        <v>0.83</v>
      </c>
      <c r="O28">
        <v>0.81</v>
      </c>
      <c r="P28">
        <v>0.83</v>
      </c>
      <c r="Q28">
        <v>0.42</v>
      </c>
      <c r="R28">
        <v>0.31</v>
      </c>
      <c r="S28">
        <v>1.29</v>
      </c>
      <c r="T28">
        <v>0.9</v>
      </c>
      <c r="U28">
        <v>0.94</v>
      </c>
    </row>
    <row r="29" spans="1:21" x14ac:dyDescent="0.25">
      <c r="A29" s="18">
        <v>27</v>
      </c>
      <c r="B29" s="18" t="s">
        <v>44</v>
      </c>
      <c r="C29" s="18" t="s">
        <v>44</v>
      </c>
      <c r="D29" s="18"/>
      <c r="E29" s="34">
        <v>14261051088</v>
      </c>
      <c r="F29" s="48">
        <v>17670748427</v>
      </c>
      <c r="G29">
        <v>16474128527</v>
      </c>
      <c r="H29">
        <v>109.36</v>
      </c>
      <c r="I29">
        <v>0</v>
      </c>
      <c r="J29">
        <v>93.23</v>
      </c>
      <c r="K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ht="15.75" thickBot="1" x14ac:dyDescent="0.3">
      <c r="D30">
        <f>SUM(D3:D29)</f>
        <v>100</v>
      </c>
      <c r="K30" s="47">
        <f>SUM(K3:K29)</f>
        <v>83.080000000000013</v>
      </c>
    </row>
    <row r="31" spans="1:21" ht="15.75" thickBot="1" x14ac:dyDescent="0.3">
      <c r="A31" s="53" t="s">
        <v>63</v>
      </c>
      <c r="B31" s="54"/>
      <c r="O31">
        <f>SUM(O3:O29)</f>
        <v>80.5</v>
      </c>
      <c r="P31">
        <f t="shared" ref="P31:U31" si="0">SUM(P3:P29)</f>
        <v>91.52</v>
      </c>
      <c r="Q31">
        <f t="shared" si="0"/>
        <v>78.289999999999992</v>
      </c>
      <c r="R31">
        <f t="shared" si="0"/>
        <v>76.890000000000029</v>
      </c>
      <c r="S31">
        <f t="shared" si="0"/>
        <v>76.570000000000007</v>
      </c>
      <c r="T31">
        <f t="shared" si="0"/>
        <v>70.239999999999995</v>
      </c>
      <c r="U31">
        <f t="shared" si="0"/>
        <v>39.33</v>
      </c>
    </row>
    <row r="32" spans="1:21" x14ac:dyDescent="0.25">
      <c r="A32" s="17" t="s">
        <v>0</v>
      </c>
      <c r="B32" s="17" t="s">
        <v>1</v>
      </c>
      <c r="C32" s="17" t="s">
        <v>2</v>
      </c>
      <c r="D32" s="17" t="s">
        <v>3</v>
      </c>
      <c r="E32" s="33" t="s">
        <v>4</v>
      </c>
      <c r="F32" s="41" t="s">
        <v>5</v>
      </c>
      <c r="G32" s="33" t="s">
        <v>6</v>
      </c>
      <c r="H32" s="33" t="s">
        <v>7</v>
      </c>
      <c r="I32" s="33" t="s">
        <v>8</v>
      </c>
      <c r="J32" s="33" t="s">
        <v>9</v>
      </c>
      <c r="K32" s="38" t="s">
        <v>10</v>
      </c>
    </row>
    <row r="33" spans="1:11" x14ac:dyDescent="0.25">
      <c r="A33" s="18">
        <v>1</v>
      </c>
      <c r="B33" s="18" t="s">
        <v>11</v>
      </c>
      <c r="C33" s="18" t="s">
        <v>12</v>
      </c>
      <c r="D33" s="18">
        <v>10</v>
      </c>
      <c r="E33" s="34">
        <v>40907806331.148003</v>
      </c>
      <c r="F33" s="42">
        <v>42622811780</v>
      </c>
      <c r="G33">
        <v>50161302371</v>
      </c>
      <c r="H33">
        <v>121.37</v>
      </c>
      <c r="I33">
        <v>12.14</v>
      </c>
      <c r="J33">
        <v>117.69</v>
      </c>
      <c r="K33">
        <v>11.77</v>
      </c>
    </row>
    <row r="34" spans="1:11" x14ac:dyDescent="0.25">
      <c r="A34" s="18">
        <v>2</v>
      </c>
      <c r="B34" s="18" t="s">
        <v>11</v>
      </c>
      <c r="C34" s="18" t="s">
        <v>13</v>
      </c>
      <c r="D34" s="18">
        <v>5</v>
      </c>
      <c r="E34" s="34">
        <v>11729350604.250999</v>
      </c>
      <c r="F34" s="42">
        <v>11839554017</v>
      </c>
      <c r="G34">
        <v>11142140348</v>
      </c>
      <c r="H34">
        <v>94.77</v>
      </c>
      <c r="I34">
        <v>4.74</v>
      </c>
      <c r="J34">
        <v>94.11</v>
      </c>
      <c r="K34">
        <v>4.71</v>
      </c>
    </row>
    <row r="35" spans="1:11" x14ac:dyDescent="0.25">
      <c r="A35" s="18">
        <v>3</v>
      </c>
      <c r="B35" s="18" t="s">
        <v>11</v>
      </c>
      <c r="C35" s="18" t="s">
        <v>14</v>
      </c>
      <c r="D35" s="18">
        <v>7.5</v>
      </c>
      <c r="E35" s="34">
        <v>7698074244.1891003</v>
      </c>
      <c r="F35" s="42">
        <v>8633448014</v>
      </c>
      <c r="G35">
        <v>11434722100</v>
      </c>
      <c r="H35">
        <v>144.41</v>
      </c>
      <c r="I35">
        <v>10.83</v>
      </c>
      <c r="J35">
        <v>132.44999999999999</v>
      </c>
      <c r="K35">
        <v>9.93</v>
      </c>
    </row>
    <row r="36" spans="1:11" x14ac:dyDescent="0.25">
      <c r="A36" s="18">
        <v>4</v>
      </c>
      <c r="B36" s="18" t="s">
        <v>11</v>
      </c>
      <c r="C36" s="18" t="s">
        <v>15</v>
      </c>
      <c r="D36" s="18">
        <v>5</v>
      </c>
      <c r="E36" s="34">
        <v>60920093388.315002</v>
      </c>
      <c r="F36" s="42">
        <v>65834609329</v>
      </c>
      <c r="G36">
        <v>76702946469</v>
      </c>
      <c r="H36">
        <v>110</v>
      </c>
      <c r="I36">
        <v>5.5</v>
      </c>
      <c r="J36">
        <v>110</v>
      </c>
      <c r="K36">
        <v>5.5</v>
      </c>
    </row>
    <row r="37" spans="1:11" x14ac:dyDescent="0.25">
      <c r="A37" s="18">
        <v>5</v>
      </c>
      <c r="B37" s="18" t="s">
        <v>16</v>
      </c>
      <c r="C37" s="18" t="s">
        <v>16</v>
      </c>
      <c r="D37" s="18">
        <v>10</v>
      </c>
      <c r="E37" s="34">
        <v>2637148084.2479</v>
      </c>
      <c r="F37" s="42">
        <v>8257115195</v>
      </c>
      <c r="G37">
        <v>3600706536.402</v>
      </c>
      <c r="H37">
        <v>89.98</v>
      </c>
      <c r="I37">
        <v>9</v>
      </c>
      <c r="J37">
        <v>43.61</v>
      </c>
      <c r="K37">
        <v>4.3600000000000003</v>
      </c>
    </row>
    <row r="38" spans="1:11" x14ac:dyDescent="0.25">
      <c r="A38" s="18">
        <v>6</v>
      </c>
      <c r="B38" s="18" t="s">
        <v>17</v>
      </c>
      <c r="C38" s="18" t="s">
        <v>17</v>
      </c>
      <c r="D38" s="18"/>
      <c r="E38" s="34"/>
      <c r="F38" s="39"/>
      <c r="G38">
        <v>24.91</v>
      </c>
      <c r="H38">
        <v>0</v>
      </c>
      <c r="I38"/>
      <c r="J38">
        <v>0</v>
      </c>
      <c r="K38"/>
    </row>
    <row r="39" spans="1:11" x14ac:dyDescent="0.25">
      <c r="A39" s="18">
        <v>7</v>
      </c>
      <c r="B39" s="18" t="s">
        <v>18</v>
      </c>
      <c r="C39" s="18" t="s">
        <v>19</v>
      </c>
      <c r="D39" s="18">
        <v>5</v>
      </c>
      <c r="E39" s="34">
        <v>781.55970000000002</v>
      </c>
      <c r="F39" s="39">
        <v>2255</v>
      </c>
      <c r="G39">
        <v>2333</v>
      </c>
      <c r="H39">
        <v>110</v>
      </c>
      <c r="I39">
        <v>5.5</v>
      </c>
      <c r="J39">
        <v>103.44</v>
      </c>
      <c r="K39">
        <v>5.17</v>
      </c>
    </row>
    <row r="40" spans="1:11" x14ac:dyDescent="0.25">
      <c r="A40" s="18">
        <v>8</v>
      </c>
      <c r="B40" s="18" t="s">
        <v>18</v>
      </c>
      <c r="C40" s="18" t="s">
        <v>20</v>
      </c>
      <c r="D40" s="18">
        <v>2.5</v>
      </c>
      <c r="E40" s="34">
        <v>20.656700000000001</v>
      </c>
      <c r="F40" s="39">
        <v>62</v>
      </c>
      <c r="G40">
        <v>69</v>
      </c>
      <c r="H40">
        <v>110</v>
      </c>
      <c r="I40">
        <v>2.75</v>
      </c>
      <c r="J40">
        <v>110</v>
      </c>
      <c r="K40">
        <v>2.75</v>
      </c>
    </row>
    <row r="41" spans="1:11" x14ac:dyDescent="0.25">
      <c r="A41" s="18">
        <v>9</v>
      </c>
      <c r="B41" s="18" t="s">
        <v>18</v>
      </c>
      <c r="C41" s="18" t="s">
        <v>21</v>
      </c>
      <c r="D41" s="18">
        <v>5</v>
      </c>
      <c r="E41" s="34">
        <v>5733.5447000000004</v>
      </c>
      <c r="F41" s="39">
        <v>8494</v>
      </c>
      <c r="G41">
        <v>6389</v>
      </c>
      <c r="H41">
        <v>101.22</v>
      </c>
      <c r="I41">
        <v>5.0599999999999996</v>
      </c>
      <c r="J41">
        <v>75.22</v>
      </c>
      <c r="K41">
        <v>3.76</v>
      </c>
    </row>
    <row r="42" spans="1:11" x14ac:dyDescent="0.25">
      <c r="A42" s="18">
        <v>10</v>
      </c>
      <c r="B42" s="18" t="s">
        <v>18</v>
      </c>
      <c r="C42" s="18" t="s">
        <v>22</v>
      </c>
      <c r="D42" s="18">
        <v>5</v>
      </c>
      <c r="E42" s="34">
        <v>1568.0549000000001</v>
      </c>
      <c r="F42" s="39">
        <v>1861</v>
      </c>
      <c r="G42">
        <v>1763</v>
      </c>
      <c r="H42">
        <v>107.72</v>
      </c>
      <c r="I42">
        <v>5.39</v>
      </c>
      <c r="J42">
        <v>94.72</v>
      </c>
      <c r="K42">
        <v>4.74</v>
      </c>
    </row>
    <row r="43" spans="1:11" x14ac:dyDescent="0.25">
      <c r="A43" s="18">
        <v>11</v>
      </c>
      <c r="B43" s="18" t="s">
        <v>23</v>
      </c>
      <c r="C43" s="18" t="s">
        <v>24</v>
      </c>
      <c r="D43" s="18">
        <v>3</v>
      </c>
      <c r="E43" s="34">
        <v>0.28639999999999999</v>
      </c>
      <c r="F43" s="39">
        <v>0.31</v>
      </c>
      <c r="G43">
        <v>0.16</v>
      </c>
      <c r="H43">
        <v>110</v>
      </c>
      <c r="I43">
        <v>3.3</v>
      </c>
      <c r="J43">
        <v>110</v>
      </c>
      <c r="K43">
        <v>3.3</v>
      </c>
    </row>
    <row r="44" spans="1:11" x14ac:dyDescent="0.25">
      <c r="A44" s="18">
        <v>12</v>
      </c>
      <c r="B44" s="18" t="s">
        <v>23</v>
      </c>
      <c r="C44" s="18" t="s">
        <v>25</v>
      </c>
      <c r="D44" s="18">
        <v>2</v>
      </c>
      <c r="E44" s="34">
        <v>2.0129000000000001</v>
      </c>
      <c r="F44" s="39">
        <v>1.95</v>
      </c>
      <c r="G44">
        <v>2.15</v>
      </c>
      <c r="H44">
        <v>94.02</v>
      </c>
      <c r="I44">
        <v>1.88</v>
      </c>
      <c r="J44">
        <v>90.77</v>
      </c>
      <c r="K44">
        <v>1.82</v>
      </c>
    </row>
    <row r="45" spans="1:11" x14ac:dyDescent="0.25">
      <c r="A45" s="18">
        <v>13</v>
      </c>
      <c r="B45" s="18" t="s">
        <v>23</v>
      </c>
      <c r="C45" s="18" t="s">
        <v>26</v>
      </c>
      <c r="D45" s="18">
        <v>2.5</v>
      </c>
      <c r="E45" s="34">
        <v>0.87239999999999995</v>
      </c>
      <c r="F45" s="39">
        <v>0.87</v>
      </c>
      <c r="G45">
        <v>0</v>
      </c>
      <c r="H45">
        <v>110</v>
      </c>
      <c r="I45">
        <v>2.75</v>
      </c>
      <c r="J45">
        <v>110</v>
      </c>
      <c r="K45">
        <v>2.75</v>
      </c>
    </row>
    <row r="46" spans="1:11" x14ac:dyDescent="0.25">
      <c r="A46" s="18">
        <v>14</v>
      </c>
      <c r="B46" s="18" t="s">
        <v>23</v>
      </c>
      <c r="C46" s="18" t="s">
        <v>27</v>
      </c>
      <c r="D46" s="18">
        <v>3</v>
      </c>
      <c r="E46" s="34">
        <v>2.4902000000000002</v>
      </c>
      <c r="F46" s="39">
        <v>2.75</v>
      </c>
      <c r="G46">
        <v>7.51</v>
      </c>
      <c r="H46">
        <v>34.78</v>
      </c>
      <c r="I46">
        <v>1.04</v>
      </c>
      <c r="J46">
        <v>36.67</v>
      </c>
      <c r="K46">
        <v>1.1000000000000001</v>
      </c>
    </row>
    <row r="47" spans="1:11" x14ac:dyDescent="0.25">
      <c r="A47" s="18">
        <v>15</v>
      </c>
      <c r="B47" s="18" t="s">
        <v>23</v>
      </c>
      <c r="C47" s="18" t="s">
        <v>28</v>
      </c>
      <c r="D47" s="18">
        <v>2</v>
      </c>
      <c r="E47" s="34">
        <v>12.013</v>
      </c>
      <c r="F47" s="39">
        <v>12.21</v>
      </c>
      <c r="G47">
        <v>9.35</v>
      </c>
      <c r="H47">
        <v>110</v>
      </c>
      <c r="I47">
        <v>2.2000000000000002</v>
      </c>
      <c r="J47">
        <v>110</v>
      </c>
      <c r="K47">
        <v>2.2000000000000002</v>
      </c>
    </row>
    <row r="48" spans="1:11" x14ac:dyDescent="0.25">
      <c r="A48" s="18">
        <v>16</v>
      </c>
      <c r="B48" s="18" t="s">
        <v>23</v>
      </c>
      <c r="C48" s="18" t="s">
        <v>29</v>
      </c>
      <c r="D48" s="18">
        <v>2.5</v>
      </c>
      <c r="E48" s="34">
        <v>10.819599999999999</v>
      </c>
      <c r="F48" s="39">
        <v>11.04</v>
      </c>
      <c r="G48">
        <v>5.22</v>
      </c>
      <c r="H48">
        <v>110</v>
      </c>
      <c r="I48">
        <v>2.75</v>
      </c>
      <c r="J48">
        <v>110</v>
      </c>
      <c r="K48">
        <v>2.75</v>
      </c>
    </row>
    <row r="49" spans="1:11" x14ac:dyDescent="0.25">
      <c r="A49" s="18">
        <v>17</v>
      </c>
      <c r="B49" s="18" t="s">
        <v>30</v>
      </c>
      <c r="C49" s="18" t="s">
        <v>31</v>
      </c>
      <c r="D49" s="18"/>
      <c r="E49" s="34"/>
      <c r="F49" s="39"/>
      <c r="G49"/>
      <c r="H49">
        <v>0</v>
      </c>
      <c r="I49"/>
      <c r="J49">
        <v>0</v>
      </c>
      <c r="K49"/>
    </row>
    <row r="50" spans="1:11" x14ac:dyDescent="0.25">
      <c r="A50" s="18">
        <v>18</v>
      </c>
      <c r="B50" s="18" t="s">
        <v>32</v>
      </c>
      <c r="C50" s="18" t="s">
        <v>33</v>
      </c>
      <c r="D50" s="18">
        <v>2.5</v>
      </c>
      <c r="E50" s="34">
        <v>3323.9270999999999</v>
      </c>
      <c r="F50" s="39">
        <v>4328</v>
      </c>
      <c r="G50">
        <v>2777</v>
      </c>
      <c r="H50">
        <v>77.349999999999994</v>
      </c>
      <c r="I50">
        <v>1.93</v>
      </c>
      <c r="J50">
        <v>64.17</v>
      </c>
      <c r="K50">
        <v>1.6</v>
      </c>
    </row>
    <row r="51" spans="1:11" x14ac:dyDescent="0.25">
      <c r="A51" s="18">
        <v>19</v>
      </c>
      <c r="B51" s="18" t="s">
        <v>32</v>
      </c>
      <c r="C51" s="18" t="s">
        <v>34</v>
      </c>
      <c r="D51" s="18">
        <v>2.5</v>
      </c>
      <c r="E51" s="34">
        <v>15990.2711</v>
      </c>
      <c r="F51" s="39">
        <v>18322</v>
      </c>
      <c r="G51">
        <v>18501.868299999998</v>
      </c>
      <c r="H51">
        <v>110</v>
      </c>
      <c r="I51">
        <v>2.75</v>
      </c>
      <c r="J51">
        <v>100.98</v>
      </c>
      <c r="K51">
        <v>2.52</v>
      </c>
    </row>
    <row r="52" spans="1:11" x14ac:dyDescent="0.25">
      <c r="A52" s="18">
        <v>20</v>
      </c>
      <c r="B52" s="18" t="s">
        <v>32</v>
      </c>
      <c r="C52" s="18" t="s">
        <v>35</v>
      </c>
      <c r="D52" s="18">
        <v>5</v>
      </c>
      <c r="E52" s="34">
        <v>1263.0898</v>
      </c>
      <c r="F52" s="39">
        <v>4232</v>
      </c>
      <c r="G52">
        <v>3492</v>
      </c>
      <c r="H52">
        <v>110</v>
      </c>
      <c r="I52">
        <v>5.5</v>
      </c>
      <c r="J52">
        <v>82.52</v>
      </c>
      <c r="K52">
        <v>4.13</v>
      </c>
    </row>
    <row r="53" spans="1:11" x14ac:dyDescent="0.25">
      <c r="A53" s="18">
        <v>21</v>
      </c>
      <c r="B53" s="18" t="s">
        <v>36</v>
      </c>
      <c r="C53" s="18" t="s">
        <v>37</v>
      </c>
      <c r="D53" s="18">
        <v>5</v>
      </c>
      <c r="E53" s="34">
        <v>1325.202</v>
      </c>
      <c r="F53" s="39">
        <v>4406</v>
      </c>
      <c r="G53">
        <v>3853</v>
      </c>
      <c r="H53">
        <v>110</v>
      </c>
      <c r="I53">
        <v>5.5</v>
      </c>
      <c r="J53">
        <v>87.46</v>
      </c>
      <c r="K53">
        <v>4.37</v>
      </c>
    </row>
    <row r="54" spans="1:11" x14ac:dyDescent="0.25">
      <c r="A54" s="18">
        <v>22</v>
      </c>
      <c r="B54" s="18" t="s">
        <v>36</v>
      </c>
      <c r="C54" s="18" t="s">
        <v>38</v>
      </c>
      <c r="D54" s="18">
        <v>5</v>
      </c>
      <c r="E54" s="34">
        <v>1220580184.8894</v>
      </c>
      <c r="F54" s="42">
        <v>2104011861</v>
      </c>
      <c r="G54">
        <v>2791211509</v>
      </c>
      <c r="H54">
        <v>110</v>
      </c>
      <c r="I54">
        <v>5.5</v>
      </c>
      <c r="J54">
        <v>110</v>
      </c>
      <c r="K54">
        <v>5.5</v>
      </c>
    </row>
    <row r="55" spans="1:11" x14ac:dyDescent="0.25">
      <c r="A55" s="18">
        <v>23</v>
      </c>
      <c r="B55" s="18" t="s">
        <v>36</v>
      </c>
      <c r="C55" s="18" t="s">
        <v>39</v>
      </c>
      <c r="D55" s="18">
        <v>5</v>
      </c>
      <c r="E55" s="34">
        <v>11464.1764</v>
      </c>
      <c r="F55" s="39">
        <v>38112</v>
      </c>
      <c r="G55">
        <v>18890</v>
      </c>
      <c r="H55">
        <v>107.72</v>
      </c>
      <c r="I55">
        <v>5.39</v>
      </c>
      <c r="J55">
        <v>49.56</v>
      </c>
      <c r="K55">
        <v>2.48</v>
      </c>
    </row>
    <row r="56" spans="1:11" x14ac:dyDescent="0.25">
      <c r="A56" s="18">
        <v>24</v>
      </c>
      <c r="B56" s="18" t="s">
        <v>40</v>
      </c>
      <c r="C56" s="18" t="s">
        <v>41</v>
      </c>
      <c r="D56" s="18">
        <v>2</v>
      </c>
      <c r="E56" s="34">
        <v>78.760000000000005</v>
      </c>
      <c r="F56" s="39">
        <v>78.760000000000005</v>
      </c>
      <c r="G56">
        <v>72.14</v>
      </c>
      <c r="H56">
        <v>91.59</v>
      </c>
      <c r="I56">
        <v>1.83</v>
      </c>
      <c r="J56">
        <v>91.59</v>
      </c>
      <c r="K56">
        <v>1.83</v>
      </c>
    </row>
    <row r="57" spans="1:11" x14ac:dyDescent="0.25">
      <c r="A57" s="18">
        <v>25</v>
      </c>
      <c r="B57" s="18" t="s">
        <v>40</v>
      </c>
      <c r="C57" s="18" t="s">
        <v>42</v>
      </c>
      <c r="D57" s="18">
        <v>1.5</v>
      </c>
      <c r="E57" s="34">
        <v>37915837.035300002</v>
      </c>
      <c r="F57" s="42">
        <v>89612005</v>
      </c>
      <c r="G57">
        <v>271316908</v>
      </c>
      <c r="H57">
        <v>110</v>
      </c>
      <c r="I57">
        <v>1.65</v>
      </c>
      <c r="J57">
        <v>110</v>
      </c>
      <c r="K57">
        <v>1.65</v>
      </c>
    </row>
    <row r="58" spans="1:11" x14ac:dyDescent="0.25">
      <c r="A58" s="18">
        <v>26</v>
      </c>
      <c r="B58" s="18" t="s">
        <v>40</v>
      </c>
      <c r="C58" s="18" t="s">
        <v>43</v>
      </c>
      <c r="D58" s="18">
        <v>1.5</v>
      </c>
      <c r="E58" s="34">
        <v>2033.5254</v>
      </c>
      <c r="F58" s="39">
        <v>2497</v>
      </c>
      <c r="G58">
        <v>1408.5543</v>
      </c>
      <c r="H58">
        <v>65.989999999999995</v>
      </c>
      <c r="I58">
        <v>0.99</v>
      </c>
      <c r="J58">
        <v>56.42</v>
      </c>
      <c r="K58">
        <v>0.85</v>
      </c>
    </row>
    <row r="59" spans="1:11" x14ac:dyDescent="0.25">
      <c r="A59" s="18">
        <v>27</v>
      </c>
      <c r="B59" s="18" t="s">
        <v>44</v>
      </c>
      <c r="C59" s="18" t="s">
        <v>44</v>
      </c>
      <c r="D59" s="18"/>
      <c r="E59" s="34">
        <v>6898006195.7910004</v>
      </c>
      <c r="F59" s="42">
        <v>8547261445</v>
      </c>
      <c r="G59">
        <v>10620989386</v>
      </c>
      <c r="H59">
        <v>145.76</v>
      </c>
      <c r="I59">
        <v>4</v>
      </c>
      <c r="J59">
        <v>124.26</v>
      </c>
      <c r="K59">
        <v>0</v>
      </c>
    </row>
    <row r="60" spans="1:11" x14ac:dyDescent="0.25">
      <c r="D60">
        <f>SUM(D33:D59)</f>
        <v>100</v>
      </c>
      <c r="K60" s="47">
        <f>SUM(K33:K59)</f>
        <v>91.54</v>
      </c>
    </row>
    <row r="61" spans="1:11" ht="15.75" thickBot="1" x14ac:dyDescent="0.3"/>
    <row r="62" spans="1:11" ht="15.75" thickBot="1" x14ac:dyDescent="0.3">
      <c r="A62" s="53" t="s">
        <v>64</v>
      </c>
      <c r="B62" s="54"/>
    </row>
    <row r="63" spans="1:11" x14ac:dyDescent="0.25">
      <c r="A63" s="17" t="s">
        <v>0</v>
      </c>
      <c r="B63" s="17" t="s">
        <v>1</v>
      </c>
      <c r="C63" s="17" t="s">
        <v>2</v>
      </c>
      <c r="D63" s="17" t="s">
        <v>3</v>
      </c>
      <c r="E63" s="33" t="s">
        <v>4</v>
      </c>
      <c r="F63" s="41" t="s">
        <v>5</v>
      </c>
      <c r="G63" s="33" t="s">
        <v>6</v>
      </c>
      <c r="H63" s="33" t="s">
        <v>7</v>
      </c>
      <c r="I63" s="33" t="s">
        <v>8</v>
      </c>
      <c r="J63" s="33" t="s">
        <v>9</v>
      </c>
      <c r="K63" s="37" t="s">
        <v>10</v>
      </c>
    </row>
    <row r="64" spans="1:11" x14ac:dyDescent="0.25">
      <c r="A64" s="18">
        <v>1</v>
      </c>
      <c r="B64" s="18" t="s">
        <v>11</v>
      </c>
      <c r="C64" s="18" t="s">
        <v>12</v>
      </c>
      <c r="D64" s="18">
        <v>12.5</v>
      </c>
      <c r="E64" s="34">
        <v>14849987693.997999</v>
      </c>
      <c r="F64" s="42">
        <v>15466510610</v>
      </c>
      <c r="G64">
        <v>16764118032</v>
      </c>
      <c r="H64">
        <v>111.75</v>
      </c>
      <c r="I64">
        <v>13.97</v>
      </c>
      <c r="J64">
        <v>108.39</v>
      </c>
      <c r="K64">
        <v>13.55</v>
      </c>
    </row>
    <row r="65" spans="1:11" x14ac:dyDescent="0.25">
      <c r="A65" s="18">
        <v>2</v>
      </c>
      <c r="B65" s="18" t="s">
        <v>11</v>
      </c>
      <c r="C65" s="18" t="s">
        <v>13</v>
      </c>
      <c r="D65" s="18"/>
      <c r="E65" s="34"/>
      <c r="F65" s="42">
        <v>302765834</v>
      </c>
      <c r="G65">
        <v>453109283</v>
      </c>
      <c r="H65">
        <v>0</v>
      </c>
      <c r="I65"/>
      <c r="J65">
        <v>0</v>
      </c>
      <c r="K65"/>
    </row>
    <row r="66" spans="1:11" x14ac:dyDescent="0.25">
      <c r="A66" s="18">
        <v>3</v>
      </c>
      <c r="B66" s="18" t="s">
        <v>11</v>
      </c>
      <c r="C66" s="18" t="s">
        <v>14</v>
      </c>
      <c r="D66" s="18">
        <v>10</v>
      </c>
      <c r="E66" s="34">
        <v>1621827842.6506</v>
      </c>
      <c r="F66" s="42">
        <v>1821557621</v>
      </c>
      <c r="G66">
        <v>2202367297</v>
      </c>
      <c r="H66">
        <v>131.97</v>
      </c>
      <c r="I66">
        <v>13.2</v>
      </c>
      <c r="J66">
        <v>120.91</v>
      </c>
      <c r="K66">
        <v>12.09</v>
      </c>
    </row>
    <row r="67" spans="1:11" x14ac:dyDescent="0.25">
      <c r="A67" s="18">
        <v>4</v>
      </c>
      <c r="B67" s="18" t="s">
        <v>11</v>
      </c>
      <c r="C67" s="18" t="s">
        <v>15</v>
      </c>
      <c r="D67" s="18">
        <v>5</v>
      </c>
      <c r="E67" s="34">
        <v>16857488424.087999</v>
      </c>
      <c r="F67" s="42">
        <v>18190765285</v>
      </c>
      <c r="G67">
        <v>20029658285</v>
      </c>
      <c r="H67">
        <v>110</v>
      </c>
      <c r="I67">
        <v>5.5</v>
      </c>
      <c r="J67">
        <v>110</v>
      </c>
      <c r="K67">
        <v>5.5</v>
      </c>
    </row>
    <row r="68" spans="1:11" x14ac:dyDescent="0.25">
      <c r="A68" s="18">
        <v>5</v>
      </c>
      <c r="B68" s="18" t="s">
        <v>16</v>
      </c>
      <c r="C68" s="18" t="s">
        <v>16</v>
      </c>
      <c r="D68" s="18">
        <v>10</v>
      </c>
      <c r="E68" s="34">
        <v>987519181.97379994</v>
      </c>
      <c r="F68" s="42">
        <v>3091999153</v>
      </c>
      <c r="G68">
        <v>1311657664.7674999</v>
      </c>
      <c r="H68">
        <v>87.53</v>
      </c>
      <c r="I68">
        <v>8.75</v>
      </c>
      <c r="J68">
        <v>42.42</v>
      </c>
      <c r="K68">
        <v>4.24</v>
      </c>
    </row>
    <row r="69" spans="1:11" x14ac:dyDescent="0.25">
      <c r="A69" s="18">
        <v>6</v>
      </c>
      <c r="B69" s="18" t="s">
        <v>17</v>
      </c>
      <c r="C69" s="18" t="s">
        <v>17</v>
      </c>
      <c r="D69" s="18"/>
      <c r="E69" s="34"/>
      <c r="F69" s="39"/>
      <c r="G69">
        <v>12.52</v>
      </c>
      <c r="H69">
        <v>0</v>
      </c>
      <c r="I69"/>
      <c r="J69">
        <v>0</v>
      </c>
      <c r="K69"/>
    </row>
    <row r="70" spans="1:11" x14ac:dyDescent="0.25">
      <c r="A70" s="18">
        <v>7</v>
      </c>
      <c r="B70" s="18" t="s">
        <v>18</v>
      </c>
      <c r="C70" s="18" t="s">
        <v>19</v>
      </c>
      <c r="D70" s="18">
        <v>5</v>
      </c>
      <c r="E70" s="34">
        <v>461.4846</v>
      </c>
      <c r="F70" s="39">
        <v>1493</v>
      </c>
      <c r="G70">
        <v>387</v>
      </c>
      <c r="H70">
        <v>57.25</v>
      </c>
      <c r="I70">
        <v>2.86</v>
      </c>
      <c r="J70">
        <v>25.92</v>
      </c>
      <c r="K70">
        <v>1.3</v>
      </c>
    </row>
    <row r="71" spans="1:11" x14ac:dyDescent="0.25">
      <c r="A71" s="18">
        <v>8</v>
      </c>
      <c r="B71" s="18" t="s">
        <v>18</v>
      </c>
      <c r="C71" s="18" t="s">
        <v>20</v>
      </c>
      <c r="D71" s="18">
        <v>2.5</v>
      </c>
      <c r="E71" s="34">
        <v>28.3018</v>
      </c>
      <c r="F71" s="39">
        <v>85</v>
      </c>
      <c r="G71">
        <v>94</v>
      </c>
      <c r="H71">
        <v>110</v>
      </c>
      <c r="I71">
        <v>2.75</v>
      </c>
      <c r="J71">
        <v>110</v>
      </c>
      <c r="K71">
        <v>2.75</v>
      </c>
    </row>
    <row r="72" spans="1:11" x14ac:dyDescent="0.25">
      <c r="A72" s="18">
        <v>9</v>
      </c>
      <c r="B72" s="18" t="s">
        <v>18</v>
      </c>
      <c r="C72" s="18" t="s">
        <v>21</v>
      </c>
      <c r="D72" s="18">
        <v>5</v>
      </c>
      <c r="E72" s="34">
        <v>3072.3629999999998</v>
      </c>
      <c r="F72" s="39">
        <v>4586</v>
      </c>
      <c r="G72">
        <v>2704</v>
      </c>
      <c r="H72">
        <v>79.790000000000006</v>
      </c>
      <c r="I72">
        <v>3.99</v>
      </c>
      <c r="J72">
        <v>58.96</v>
      </c>
      <c r="K72">
        <v>2.95</v>
      </c>
    </row>
    <row r="73" spans="1:11" x14ac:dyDescent="0.25">
      <c r="A73" s="18">
        <v>10</v>
      </c>
      <c r="B73" s="18" t="s">
        <v>18</v>
      </c>
      <c r="C73" s="18" t="s">
        <v>22</v>
      </c>
      <c r="D73" s="18">
        <v>5</v>
      </c>
      <c r="E73" s="34">
        <v>249.4461</v>
      </c>
      <c r="F73" s="39">
        <v>296</v>
      </c>
      <c r="G73">
        <v>284</v>
      </c>
      <c r="H73">
        <v>109.08</v>
      </c>
      <c r="I73">
        <v>5.45</v>
      </c>
      <c r="J73">
        <v>95.92</v>
      </c>
      <c r="K73">
        <v>4.8</v>
      </c>
    </row>
    <row r="74" spans="1:11" x14ac:dyDescent="0.25">
      <c r="A74" s="18">
        <v>11</v>
      </c>
      <c r="B74" s="18" t="s">
        <v>23</v>
      </c>
      <c r="C74" s="18" t="s">
        <v>24</v>
      </c>
      <c r="D74" s="18">
        <v>3</v>
      </c>
      <c r="E74" s="34">
        <v>0.28699999999999998</v>
      </c>
      <c r="F74" s="39">
        <v>0.31</v>
      </c>
      <c r="G74">
        <v>0.08</v>
      </c>
      <c r="H74">
        <v>110</v>
      </c>
      <c r="I74">
        <v>3.3</v>
      </c>
      <c r="J74">
        <v>110</v>
      </c>
      <c r="K74">
        <v>3.3</v>
      </c>
    </row>
    <row r="75" spans="1:11" x14ac:dyDescent="0.25">
      <c r="A75" s="18">
        <v>12</v>
      </c>
      <c r="B75" s="18" t="s">
        <v>23</v>
      </c>
      <c r="C75" s="18" t="s">
        <v>25</v>
      </c>
      <c r="D75" s="18">
        <v>2</v>
      </c>
      <c r="E75" s="34">
        <v>12.099299999999999</v>
      </c>
      <c r="F75" s="39">
        <v>11.23</v>
      </c>
      <c r="G75">
        <v>3.35</v>
      </c>
      <c r="H75">
        <v>110</v>
      </c>
      <c r="I75">
        <v>2.2000000000000002</v>
      </c>
      <c r="J75">
        <v>110</v>
      </c>
      <c r="K75">
        <v>2.2000000000000002</v>
      </c>
    </row>
    <row r="76" spans="1:11" x14ac:dyDescent="0.25">
      <c r="A76" s="18">
        <v>13</v>
      </c>
      <c r="B76" s="18" t="s">
        <v>23</v>
      </c>
      <c r="C76" s="18" t="s">
        <v>26</v>
      </c>
      <c r="D76" s="18">
        <v>2.5</v>
      </c>
      <c r="E76" s="34">
        <v>0.87849999999999995</v>
      </c>
      <c r="F76" s="39">
        <v>0.87</v>
      </c>
      <c r="G76">
        <v>0.2</v>
      </c>
      <c r="H76">
        <v>110</v>
      </c>
      <c r="I76">
        <v>2.75</v>
      </c>
      <c r="J76">
        <v>110</v>
      </c>
      <c r="K76">
        <v>2.75</v>
      </c>
    </row>
    <row r="77" spans="1:11" x14ac:dyDescent="0.25">
      <c r="A77" s="18">
        <v>14</v>
      </c>
      <c r="B77" s="18" t="s">
        <v>23</v>
      </c>
      <c r="C77" s="18" t="s">
        <v>27</v>
      </c>
      <c r="D77" s="18">
        <v>3</v>
      </c>
      <c r="E77" s="34">
        <v>2.4925000000000002</v>
      </c>
      <c r="F77" s="39">
        <v>2.75</v>
      </c>
      <c r="G77">
        <v>9.41</v>
      </c>
      <c r="H77">
        <v>27.76</v>
      </c>
      <c r="I77">
        <v>0.83</v>
      </c>
      <c r="J77">
        <v>29.27</v>
      </c>
      <c r="K77">
        <v>0.88</v>
      </c>
    </row>
    <row r="78" spans="1:11" x14ac:dyDescent="0.25">
      <c r="A78" s="18">
        <v>15</v>
      </c>
      <c r="B78" s="18" t="s">
        <v>23</v>
      </c>
      <c r="C78" s="18" t="s">
        <v>28</v>
      </c>
      <c r="D78" s="18">
        <v>2</v>
      </c>
      <c r="E78" s="34">
        <v>28.644500000000001</v>
      </c>
      <c r="F78" s="39">
        <v>30.9</v>
      </c>
      <c r="G78">
        <v>10.39</v>
      </c>
      <c r="H78">
        <v>110</v>
      </c>
      <c r="I78">
        <v>2.2000000000000002</v>
      </c>
      <c r="J78">
        <v>110</v>
      </c>
      <c r="K78">
        <v>2.2000000000000002</v>
      </c>
    </row>
    <row r="79" spans="1:11" x14ac:dyDescent="0.25">
      <c r="A79" s="18">
        <v>16</v>
      </c>
      <c r="B79" s="18" t="s">
        <v>23</v>
      </c>
      <c r="C79" s="18" t="s">
        <v>29</v>
      </c>
      <c r="D79" s="18">
        <v>2.5</v>
      </c>
      <c r="E79" s="34">
        <v>10.841200000000001</v>
      </c>
      <c r="F79" s="39">
        <v>11.04</v>
      </c>
      <c r="G79">
        <v>3.62</v>
      </c>
      <c r="H79">
        <v>110</v>
      </c>
      <c r="I79">
        <v>2.75</v>
      </c>
      <c r="J79">
        <v>110</v>
      </c>
      <c r="K79">
        <v>2.75</v>
      </c>
    </row>
    <row r="80" spans="1:11" x14ac:dyDescent="0.25">
      <c r="A80" s="18">
        <v>17</v>
      </c>
      <c r="B80" s="18" t="s">
        <v>30</v>
      </c>
      <c r="C80" s="18" t="s">
        <v>31</v>
      </c>
      <c r="D80" s="18"/>
      <c r="E80" s="34"/>
      <c r="F80" s="39"/>
      <c r="G80"/>
      <c r="H80">
        <v>0</v>
      </c>
      <c r="I80"/>
      <c r="J80">
        <v>0</v>
      </c>
      <c r="K80"/>
    </row>
    <row r="81" spans="1:11" x14ac:dyDescent="0.25">
      <c r="A81" s="18">
        <v>18</v>
      </c>
      <c r="B81" s="18" t="s">
        <v>32</v>
      </c>
      <c r="C81" s="18" t="s">
        <v>33</v>
      </c>
      <c r="D81" s="18">
        <v>2.5</v>
      </c>
      <c r="E81" s="34">
        <v>398.48219999999998</v>
      </c>
      <c r="F81" s="39">
        <v>519</v>
      </c>
      <c r="G81">
        <v>243</v>
      </c>
      <c r="H81">
        <v>56.46</v>
      </c>
      <c r="I81">
        <v>1.41</v>
      </c>
      <c r="J81">
        <v>46.84</v>
      </c>
      <c r="K81">
        <v>1.17</v>
      </c>
    </row>
    <row r="82" spans="1:11" x14ac:dyDescent="0.25">
      <c r="A82" s="18">
        <v>19</v>
      </c>
      <c r="B82" s="18" t="s">
        <v>32</v>
      </c>
      <c r="C82" s="18" t="s">
        <v>34</v>
      </c>
      <c r="D82" s="18">
        <v>2.5</v>
      </c>
      <c r="E82" s="34">
        <v>1926.0704000000001</v>
      </c>
      <c r="F82" s="39">
        <v>2207</v>
      </c>
      <c r="G82">
        <v>1826.5225</v>
      </c>
      <c r="H82">
        <v>92.58</v>
      </c>
      <c r="I82">
        <v>2.31</v>
      </c>
      <c r="J82">
        <v>82.76</v>
      </c>
      <c r="K82">
        <v>2.0699999999999998</v>
      </c>
    </row>
    <row r="83" spans="1:11" x14ac:dyDescent="0.25">
      <c r="A83" s="18">
        <v>20</v>
      </c>
      <c r="B83" s="18" t="s">
        <v>32</v>
      </c>
      <c r="C83" s="18" t="s">
        <v>35</v>
      </c>
      <c r="D83" s="18">
        <v>5</v>
      </c>
      <c r="E83" s="34">
        <v>411.68959999999998</v>
      </c>
      <c r="F83" s="39">
        <v>1379</v>
      </c>
      <c r="G83">
        <v>733.5</v>
      </c>
      <c r="H83">
        <v>110</v>
      </c>
      <c r="I83">
        <v>5.5</v>
      </c>
      <c r="J83">
        <v>53.18</v>
      </c>
      <c r="K83">
        <v>2.66</v>
      </c>
    </row>
    <row r="84" spans="1:11" x14ac:dyDescent="0.25">
      <c r="A84" s="18">
        <v>21</v>
      </c>
      <c r="B84" s="18" t="s">
        <v>36</v>
      </c>
      <c r="C84" s="18" t="s">
        <v>37</v>
      </c>
      <c r="D84" s="18">
        <v>5</v>
      </c>
      <c r="E84" s="34">
        <v>312.1071</v>
      </c>
      <c r="F84" s="39">
        <v>1038</v>
      </c>
      <c r="G84">
        <v>865</v>
      </c>
      <c r="H84">
        <v>110</v>
      </c>
      <c r="I84">
        <v>5.5</v>
      </c>
      <c r="J84">
        <v>83.37</v>
      </c>
      <c r="K84">
        <v>4.17</v>
      </c>
    </row>
    <row r="85" spans="1:11" x14ac:dyDescent="0.25">
      <c r="A85" s="18">
        <v>22</v>
      </c>
      <c r="B85" s="18" t="s">
        <v>36</v>
      </c>
      <c r="C85" s="18" t="s">
        <v>38</v>
      </c>
      <c r="D85" s="18">
        <v>5</v>
      </c>
      <c r="E85" s="34">
        <v>457717059.15689999</v>
      </c>
      <c r="F85" s="42">
        <v>789003568</v>
      </c>
      <c r="G85">
        <v>592281535</v>
      </c>
      <c r="H85">
        <v>110</v>
      </c>
      <c r="I85">
        <v>5.5</v>
      </c>
      <c r="J85">
        <v>75.069999999999993</v>
      </c>
      <c r="K85">
        <v>3.75</v>
      </c>
    </row>
    <row r="86" spans="1:11" x14ac:dyDescent="0.25">
      <c r="A86" s="18">
        <v>23</v>
      </c>
      <c r="B86" s="18" t="s">
        <v>36</v>
      </c>
      <c r="C86" s="18" t="s">
        <v>39</v>
      </c>
      <c r="D86" s="18">
        <v>5</v>
      </c>
      <c r="E86" s="34">
        <v>4506.2348000000002</v>
      </c>
      <c r="F86" s="39">
        <v>14981</v>
      </c>
      <c r="G86">
        <v>4790</v>
      </c>
      <c r="H86">
        <v>69.489999999999995</v>
      </c>
      <c r="I86">
        <v>3.47</v>
      </c>
      <c r="J86">
        <v>31.97</v>
      </c>
      <c r="K86">
        <v>1.6</v>
      </c>
    </row>
    <row r="87" spans="1:11" x14ac:dyDescent="0.25">
      <c r="A87" s="18">
        <v>24</v>
      </c>
      <c r="B87" s="18" t="s">
        <v>40</v>
      </c>
      <c r="C87" s="18" t="s">
        <v>41</v>
      </c>
      <c r="D87" s="18">
        <v>2</v>
      </c>
      <c r="E87" s="34">
        <v>78.760000000000005</v>
      </c>
      <c r="F87" s="39">
        <v>78.760000000000005</v>
      </c>
      <c r="G87">
        <v>78</v>
      </c>
      <c r="H87">
        <v>99.04</v>
      </c>
      <c r="I87">
        <v>1.98</v>
      </c>
      <c r="J87">
        <v>99.04</v>
      </c>
      <c r="K87">
        <v>1.98</v>
      </c>
    </row>
    <row r="88" spans="1:11" x14ac:dyDescent="0.25">
      <c r="A88" s="18">
        <v>25</v>
      </c>
      <c r="B88" s="18" t="s">
        <v>40</v>
      </c>
      <c r="C88" s="18" t="s">
        <v>42</v>
      </c>
      <c r="D88" s="18">
        <v>1.5</v>
      </c>
      <c r="E88" s="34">
        <v>37915837.035300002</v>
      </c>
      <c r="F88" s="42">
        <v>89612005</v>
      </c>
      <c r="G88">
        <v>10389442</v>
      </c>
      <c r="H88">
        <v>22.23</v>
      </c>
      <c r="I88">
        <v>0.33</v>
      </c>
      <c r="J88">
        <v>11.59</v>
      </c>
      <c r="K88">
        <v>0.17</v>
      </c>
    </row>
    <row r="89" spans="1:11" x14ac:dyDescent="0.25">
      <c r="A89" s="18">
        <v>26</v>
      </c>
      <c r="B89" s="18" t="s">
        <v>40</v>
      </c>
      <c r="C89" s="18" t="s">
        <v>43</v>
      </c>
      <c r="D89" s="18">
        <v>1.5</v>
      </c>
      <c r="E89" s="34">
        <v>212.34139999999999</v>
      </c>
      <c r="F89" s="39">
        <v>261</v>
      </c>
      <c r="G89">
        <v>72.7136</v>
      </c>
      <c r="H89">
        <v>32.619999999999997</v>
      </c>
      <c r="I89">
        <v>0.49</v>
      </c>
      <c r="J89">
        <v>27.89</v>
      </c>
      <c r="K89">
        <v>0.42</v>
      </c>
    </row>
    <row r="90" spans="1:11" x14ac:dyDescent="0.25">
      <c r="A90" s="18">
        <v>27</v>
      </c>
      <c r="B90" s="18" t="s">
        <v>44</v>
      </c>
      <c r="C90" s="18" t="s">
        <v>44</v>
      </c>
      <c r="D90" s="18"/>
      <c r="E90" s="34">
        <v>1361003400.8694</v>
      </c>
      <c r="F90" s="42">
        <v>1686407864</v>
      </c>
      <c r="G90">
        <v>1316611637</v>
      </c>
      <c r="H90">
        <v>91.58</v>
      </c>
      <c r="I90">
        <v>0</v>
      </c>
      <c r="J90">
        <v>78.069999999999993</v>
      </c>
      <c r="K90">
        <v>0</v>
      </c>
    </row>
    <row r="91" spans="1:11" ht="15.75" thickBot="1" x14ac:dyDescent="0.3">
      <c r="D91">
        <f>SUM(D64:D90)</f>
        <v>100</v>
      </c>
      <c r="K91" s="47">
        <f>SUM(K64:K90)</f>
        <v>79.25</v>
      </c>
    </row>
    <row r="92" spans="1:11" ht="15.75" thickBot="1" x14ac:dyDescent="0.3">
      <c r="A92" s="53" t="s">
        <v>65</v>
      </c>
      <c r="B92" s="54"/>
    </row>
    <row r="93" spans="1:11" x14ac:dyDescent="0.25">
      <c r="A93" s="17" t="s">
        <v>0</v>
      </c>
      <c r="B93" s="17" t="s">
        <v>1</v>
      </c>
      <c r="C93" s="17" t="s">
        <v>2</v>
      </c>
      <c r="D93" s="17" t="s">
        <v>3</v>
      </c>
      <c r="E93" s="33" t="s">
        <v>4</v>
      </c>
      <c r="F93" s="41" t="s">
        <v>5</v>
      </c>
      <c r="G93" s="33" t="s">
        <v>6</v>
      </c>
      <c r="H93" s="33" t="s">
        <v>7</v>
      </c>
      <c r="I93" s="33" t="s">
        <v>8</v>
      </c>
      <c r="J93" s="33" t="s">
        <v>9</v>
      </c>
      <c r="K93" s="37" t="s">
        <v>10</v>
      </c>
    </row>
    <row r="94" spans="1:11" x14ac:dyDescent="0.25">
      <c r="A94" s="18">
        <v>1</v>
      </c>
      <c r="B94" s="18" t="s">
        <v>11</v>
      </c>
      <c r="C94" s="18" t="s">
        <v>12</v>
      </c>
      <c r="D94" s="18">
        <v>12.5</v>
      </c>
      <c r="E94" s="34">
        <v>11689469585.093</v>
      </c>
      <c r="F94" s="45">
        <v>12177450584</v>
      </c>
      <c r="G94">
        <v>13725362812</v>
      </c>
      <c r="H94">
        <v>116.22</v>
      </c>
      <c r="I94">
        <v>14.53</v>
      </c>
      <c r="J94">
        <v>112.71</v>
      </c>
      <c r="K94">
        <v>14.09</v>
      </c>
    </row>
    <row r="95" spans="1:11" x14ac:dyDescent="0.25">
      <c r="A95" s="18">
        <v>2</v>
      </c>
      <c r="B95" s="18" t="s">
        <v>11</v>
      </c>
      <c r="C95" s="18" t="s">
        <v>13</v>
      </c>
      <c r="D95" s="18"/>
      <c r="E95" s="34"/>
      <c r="F95" s="45">
        <v>413851412</v>
      </c>
      <c r="G95">
        <v>632354151</v>
      </c>
      <c r="H95">
        <v>0</v>
      </c>
      <c r="I95"/>
      <c r="J95">
        <v>0</v>
      </c>
      <c r="K95"/>
    </row>
    <row r="96" spans="1:11" x14ac:dyDescent="0.25">
      <c r="A96" s="18">
        <v>3</v>
      </c>
      <c r="B96" s="18" t="s">
        <v>11</v>
      </c>
      <c r="C96" s="18" t="s">
        <v>14</v>
      </c>
      <c r="D96" s="18">
        <v>10</v>
      </c>
      <c r="E96" s="34">
        <v>1509258106.3239999</v>
      </c>
      <c r="F96" s="45">
        <v>1692515292</v>
      </c>
      <c r="G96">
        <v>1687699008</v>
      </c>
      <c r="H96">
        <v>108.72</v>
      </c>
      <c r="I96">
        <v>10.87</v>
      </c>
      <c r="J96">
        <v>99.72</v>
      </c>
      <c r="K96">
        <v>9.9700000000000006</v>
      </c>
    </row>
    <row r="97" spans="1:11" x14ac:dyDescent="0.25">
      <c r="A97" s="18">
        <v>4</v>
      </c>
      <c r="B97" s="18" t="s">
        <v>11</v>
      </c>
      <c r="C97" s="18" t="s">
        <v>15</v>
      </c>
      <c r="D97" s="18">
        <v>5</v>
      </c>
      <c r="E97" s="34">
        <v>13597233585.021</v>
      </c>
      <c r="F97" s="45">
        <v>14629108298</v>
      </c>
      <c r="G97">
        <v>17313521531</v>
      </c>
      <c r="H97">
        <v>110</v>
      </c>
      <c r="I97">
        <v>5.5</v>
      </c>
      <c r="J97">
        <v>110</v>
      </c>
      <c r="K97">
        <v>5.5</v>
      </c>
    </row>
    <row r="98" spans="1:11" x14ac:dyDescent="0.25">
      <c r="A98" s="18">
        <v>5</v>
      </c>
      <c r="B98" s="18" t="s">
        <v>16</v>
      </c>
      <c r="C98" s="18" t="s">
        <v>16</v>
      </c>
      <c r="D98" s="18">
        <v>10</v>
      </c>
      <c r="E98" s="34">
        <v>779602292.96329999</v>
      </c>
      <c r="F98" s="45">
        <v>2440995247</v>
      </c>
      <c r="G98">
        <v>997877898.8635</v>
      </c>
      <c r="H98">
        <v>84.35</v>
      </c>
      <c r="I98">
        <v>8.43</v>
      </c>
      <c r="J98">
        <v>40.880000000000003</v>
      </c>
      <c r="K98">
        <v>4.09</v>
      </c>
    </row>
    <row r="99" spans="1:11" x14ac:dyDescent="0.25">
      <c r="A99" s="18">
        <v>6</v>
      </c>
      <c r="B99" s="18" t="s">
        <v>17</v>
      </c>
      <c r="C99" s="18" t="s">
        <v>17</v>
      </c>
      <c r="D99" s="18"/>
      <c r="E99" s="34"/>
      <c r="F99" s="43"/>
      <c r="G99">
        <v>21.26</v>
      </c>
      <c r="H99">
        <v>0</v>
      </c>
      <c r="I99"/>
      <c r="J99">
        <v>0</v>
      </c>
      <c r="K99"/>
    </row>
    <row r="100" spans="1:11" x14ac:dyDescent="0.25">
      <c r="A100" s="18">
        <v>7</v>
      </c>
      <c r="B100" s="18" t="s">
        <v>18</v>
      </c>
      <c r="C100" s="18" t="s">
        <v>19</v>
      </c>
      <c r="D100" s="18">
        <v>5</v>
      </c>
      <c r="E100" s="34">
        <v>429.02550000000002</v>
      </c>
      <c r="F100" s="43">
        <v>1416</v>
      </c>
      <c r="G100">
        <v>588</v>
      </c>
      <c r="H100">
        <v>93.03</v>
      </c>
      <c r="I100">
        <v>4.6500000000000004</v>
      </c>
      <c r="J100">
        <v>41.53</v>
      </c>
      <c r="K100">
        <v>2.08</v>
      </c>
    </row>
    <row r="101" spans="1:11" x14ac:dyDescent="0.25">
      <c r="A101" s="18">
        <v>8</v>
      </c>
      <c r="B101" s="18" t="s">
        <v>18</v>
      </c>
      <c r="C101" s="18" t="s">
        <v>20</v>
      </c>
      <c r="D101" s="18">
        <v>2.5</v>
      </c>
      <c r="E101" s="34">
        <v>24.846800000000002</v>
      </c>
      <c r="F101" s="43">
        <v>75</v>
      </c>
      <c r="G101">
        <v>76</v>
      </c>
      <c r="H101">
        <v>110</v>
      </c>
      <c r="I101">
        <v>2.75</v>
      </c>
      <c r="J101">
        <v>101.96</v>
      </c>
      <c r="K101">
        <v>2.5499999999999998</v>
      </c>
    </row>
    <row r="102" spans="1:11" x14ac:dyDescent="0.25">
      <c r="A102" s="18">
        <v>9</v>
      </c>
      <c r="B102" s="18" t="s">
        <v>18</v>
      </c>
      <c r="C102" s="18" t="s">
        <v>21</v>
      </c>
      <c r="D102" s="18">
        <v>5</v>
      </c>
      <c r="E102" s="34">
        <v>2780.9346</v>
      </c>
      <c r="F102" s="43">
        <v>4133</v>
      </c>
      <c r="G102">
        <v>2806</v>
      </c>
      <c r="H102">
        <v>91.57</v>
      </c>
      <c r="I102">
        <v>4.58</v>
      </c>
      <c r="J102">
        <v>67.88</v>
      </c>
      <c r="K102">
        <v>3.39</v>
      </c>
    </row>
    <row r="103" spans="1:11" x14ac:dyDescent="0.25">
      <c r="A103" s="18">
        <v>10</v>
      </c>
      <c r="B103" s="18" t="s">
        <v>18</v>
      </c>
      <c r="C103" s="18" t="s">
        <v>22</v>
      </c>
      <c r="D103" s="18">
        <v>5</v>
      </c>
      <c r="E103" s="34">
        <v>212.1174</v>
      </c>
      <c r="F103" s="43">
        <v>252</v>
      </c>
      <c r="G103">
        <v>246</v>
      </c>
      <c r="H103">
        <v>110</v>
      </c>
      <c r="I103">
        <v>5.5</v>
      </c>
      <c r="J103">
        <v>97.71</v>
      </c>
      <c r="K103">
        <v>4.8899999999999997</v>
      </c>
    </row>
    <row r="104" spans="1:11" x14ac:dyDescent="0.25">
      <c r="A104" s="18">
        <v>11</v>
      </c>
      <c r="B104" s="18" t="s">
        <v>23</v>
      </c>
      <c r="C104" s="18" t="s">
        <v>24</v>
      </c>
      <c r="D104" s="18">
        <v>3</v>
      </c>
      <c r="E104" s="34">
        <v>0.28620000000000001</v>
      </c>
      <c r="F104" s="43">
        <v>0.31</v>
      </c>
      <c r="G104">
        <v>0.14000000000000001</v>
      </c>
      <c r="H104">
        <v>110</v>
      </c>
      <c r="I104">
        <v>3.3</v>
      </c>
      <c r="J104">
        <v>110</v>
      </c>
      <c r="K104">
        <v>3.3</v>
      </c>
    </row>
    <row r="105" spans="1:11" x14ac:dyDescent="0.25">
      <c r="A105" s="18">
        <v>12</v>
      </c>
      <c r="B105" s="18" t="s">
        <v>23</v>
      </c>
      <c r="C105" s="18" t="s">
        <v>25</v>
      </c>
      <c r="D105" s="18">
        <v>2</v>
      </c>
      <c r="E105" s="34">
        <v>10.576599999999999</v>
      </c>
      <c r="F105" s="43">
        <v>10.61</v>
      </c>
      <c r="G105">
        <v>3.29</v>
      </c>
      <c r="H105">
        <v>110</v>
      </c>
      <c r="I105">
        <v>2.2000000000000002</v>
      </c>
      <c r="J105">
        <v>110</v>
      </c>
      <c r="K105">
        <v>2.2000000000000002</v>
      </c>
    </row>
    <row r="106" spans="1:11" x14ac:dyDescent="0.25">
      <c r="A106" s="18">
        <v>13</v>
      </c>
      <c r="B106" s="18" t="s">
        <v>23</v>
      </c>
      <c r="C106" s="18" t="s">
        <v>26</v>
      </c>
      <c r="D106" s="18">
        <v>2.5</v>
      </c>
      <c r="E106" s="34">
        <v>0.87460000000000004</v>
      </c>
      <c r="F106" s="43">
        <v>0.87</v>
      </c>
      <c r="G106">
        <v>0.67</v>
      </c>
      <c r="H106">
        <v>110</v>
      </c>
      <c r="I106">
        <v>2.75</v>
      </c>
      <c r="J106">
        <v>110</v>
      </c>
      <c r="K106">
        <v>2.75</v>
      </c>
    </row>
    <row r="107" spans="1:11" x14ac:dyDescent="0.25">
      <c r="A107" s="18">
        <v>14</v>
      </c>
      <c r="B107" s="18" t="s">
        <v>23</v>
      </c>
      <c r="C107" s="18" t="s">
        <v>27</v>
      </c>
      <c r="D107" s="18">
        <v>3</v>
      </c>
      <c r="E107" s="34">
        <v>2.4893000000000001</v>
      </c>
      <c r="F107" s="43">
        <v>2.75</v>
      </c>
      <c r="G107">
        <v>6.82</v>
      </c>
      <c r="H107">
        <v>38.29</v>
      </c>
      <c r="I107">
        <v>1.1499999999999999</v>
      </c>
      <c r="J107">
        <v>40.380000000000003</v>
      </c>
      <c r="K107">
        <v>1.21</v>
      </c>
    </row>
    <row r="108" spans="1:11" x14ac:dyDescent="0.25">
      <c r="A108" s="18">
        <v>15</v>
      </c>
      <c r="B108" s="18" t="s">
        <v>23</v>
      </c>
      <c r="C108" s="18" t="s">
        <v>28</v>
      </c>
      <c r="D108" s="18">
        <v>2</v>
      </c>
      <c r="E108" s="34">
        <v>58.096400000000003</v>
      </c>
      <c r="F108" s="43">
        <v>61.93</v>
      </c>
      <c r="G108">
        <v>47.95</v>
      </c>
      <c r="H108">
        <v>110</v>
      </c>
      <c r="I108">
        <v>2.2000000000000002</v>
      </c>
      <c r="J108">
        <v>110</v>
      </c>
      <c r="K108">
        <v>2.2000000000000002</v>
      </c>
    </row>
    <row r="109" spans="1:11" x14ac:dyDescent="0.25">
      <c r="A109" s="18">
        <v>16</v>
      </c>
      <c r="B109" s="18" t="s">
        <v>23</v>
      </c>
      <c r="C109" s="18" t="s">
        <v>29</v>
      </c>
      <c r="D109" s="18">
        <v>2.5</v>
      </c>
      <c r="E109" s="34">
        <v>10.816800000000001</v>
      </c>
      <c r="F109" s="43">
        <v>11.04</v>
      </c>
      <c r="G109">
        <v>11.74</v>
      </c>
      <c r="H109">
        <v>94.66</v>
      </c>
      <c r="I109">
        <v>2.37</v>
      </c>
      <c r="J109">
        <v>94.08</v>
      </c>
      <c r="K109">
        <v>2.35</v>
      </c>
    </row>
    <row r="110" spans="1:11" x14ac:dyDescent="0.25">
      <c r="A110" s="18">
        <v>17</v>
      </c>
      <c r="B110" s="18" t="s">
        <v>30</v>
      </c>
      <c r="C110" s="18" t="s">
        <v>31</v>
      </c>
      <c r="D110" s="18"/>
      <c r="E110" s="34"/>
      <c r="F110" s="43"/>
      <c r="G110"/>
      <c r="H110">
        <v>0</v>
      </c>
      <c r="I110"/>
      <c r="J110">
        <v>0</v>
      </c>
      <c r="K110"/>
    </row>
    <row r="111" spans="1:11" x14ac:dyDescent="0.25">
      <c r="A111" s="18">
        <v>18</v>
      </c>
      <c r="B111" s="18" t="s">
        <v>32</v>
      </c>
      <c r="C111" s="18" t="s">
        <v>33</v>
      </c>
      <c r="D111" s="18">
        <v>2.5</v>
      </c>
      <c r="E111" s="34">
        <v>346.2296</v>
      </c>
      <c r="F111" s="43">
        <v>451</v>
      </c>
      <c r="G111">
        <v>242</v>
      </c>
      <c r="H111">
        <v>64.709999999999994</v>
      </c>
      <c r="I111">
        <v>1.62</v>
      </c>
      <c r="J111">
        <v>53.69</v>
      </c>
      <c r="K111">
        <v>1.34</v>
      </c>
    </row>
    <row r="112" spans="1:11" x14ac:dyDescent="0.25">
      <c r="A112" s="18">
        <v>19</v>
      </c>
      <c r="B112" s="18" t="s">
        <v>32</v>
      </c>
      <c r="C112" s="18" t="s">
        <v>34</v>
      </c>
      <c r="D112" s="18">
        <v>2.5</v>
      </c>
      <c r="E112" s="34">
        <v>1774.3964000000001</v>
      </c>
      <c r="F112" s="43">
        <v>2033</v>
      </c>
      <c r="G112">
        <v>1498.2072000000001</v>
      </c>
      <c r="H112">
        <v>82.43</v>
      </c>
      <c r="I112">
        <v>2.06</v>
      </c>
      <c r="J112">
        <v>73.69</v>
      </c>
      <c r="K112">
        <v>1.84</v>
      </c>
    </row>
    <row r="113" spans="1:11" x14ac:dyDescent="0.25">
      <c r="A113" s="18">
        <v>20</v>
      </c>
      <c r="B113" s="18" t="s">
        <v>32</v>
      </c>
      <c r="C113" s="18" t="s">
        <v>35</v>
      </c>
      <c r="D113" s="18">
        <v>5</v>
      </c>
      <c r="E113" s="34">
        <v>404.6463</v>
      </c>
      <c r="F113" s="43">
        <v>1356</v>
      </c>
      <c r="G113">
        <v>474</v>
      </c>
      <c r="H113">
        <v>74.010000000000005</v>
      </c>
      <c r="I113">
        <v>3.7</v>
      </c>
      <c r="J113">
        <v>34.97</v>
      </c>
      <c r="K113">
        <v>1.75</v>
      </c>
    </row>
    <row r="114" spans="1:11" x14ac:dyDescent="0.25">
      <c r="A114" s="18">
        <v>21</v>
      </c>
      <c r="B114" s="18" t="s">
        <v>36</v>
      </c>
      <c r="C114" s="18" t="s">
        <v>37</v>
      </c>
      <c r="D114" s="18">
        <v>5</v>
      </c>
      <c r="E114" s="34">
        <v>297.26760000000002</v>
      </c>
      <c r="F114" s="43">
        <v>988</v>
      </c>
      <c r="G114">
        <v>756</v>
      </c>
      <c r="H114">
        <v>110</v>
      </c>
      <c r="I114">
        <v>5.5</v>
      </c>
      <c r="J114">
        <v>76.5</v>
      </c>
      <c r="K114">
        <v>3.82</v>
      </c>
    </row>
    <row r="115" spans="1:11" x14ac:dyDescent="0.25">
      <c r="A115" s="18">
        <v>22</v>
      </c>
      <c r="B115" s="18" t="s">
        <v>36</v>
      </c>
      <c r="C115" s="18" t="s">
        <v>38</v>
      </c>
      <c r="D115" s="18">
        <v>5</v>
      </c>
      <c r="E115" s="34">
        <v>448879916.80989999</v>
      </c>
      <c r="F115" s="45">
        <v>773770278</v>
      </c>
      <c r="G115">
        <v>440086127</v>
      </c>
      <c r="H115">
        <v>83.65</v>
      </c>
      <c r="I115">
        <v>4.18</v>
      </c>
      <c r="J115">
        <v>56.88</v>
      </c>
      <c r="K115">
        <v>2.84</v>
      </c>
    </row>
    <row r="116" spans="1:11" x14ac:dyDescent="0.25">
      <c r="A116" s="18">
        <v>23</v>
      </c>
      <c r="B116" s="18" t="s">
        <v>36</v>
      </c>
      <c r="C116" s="18" t="s">
        <v>39</v>
      </c>
      <c r="D116" s="18">
        <v>5</v>
      </c>
      <c r="E116" s="34">
        <v>4660.3543</v>
      </c>
      <c r="F116" s="43">
        <v>15493</v>
      </c>
      <c r="G116">
        <v>4268</v>
      </c>
      <c r="H116">
        <v>59.87</v>
      </c>
      <c r="I116">
        <v>2.99</v>
      </c>
      <c r="J116">
        <v>27.55</v>
      </c>
      <c r="K116">
        <v>1.38</v>
      </c>
    </row>
    <row r="117" spans="1:11" x14ac:dyDescent="0.25">
      <c r="A117" s="18">
        <v>24</v>
      </c>
      <c r="B117" s="18" t="s">
        <v>40</v>
      </c>
      <c r="C117" s="18" t="s">
        <v>41</v>
      </c>
      <c r="D117" s="18">
        <v>2</v>
      </c>
      <c r="E117" s="34">
        <v>78.760000000000005</v>
      </c>
      <c r="F117" s="43">
        <v>78.760000000000005</v>
      </c>
      <c r="G117">
        <v>73.430000000000007</v>
      </c>
      <c r="H117">
        <v>93.23</v>
      </c>
      <c r="I117">
        <v>1.86</v>
      </c>
      <c r="J117">
        <v>93.23</v>
      </c>
      <c r="K117">
        <v>1.86</v>
      </c>
    </row>
    <row r="118" spans="1:11" x14ac:dyDescent="0.25">
      <c r="A118" s="18">
        <v>25</v>
      </c>
      <c r="B118" s="18" t="s">
        <v>40</v>
      </c>
      <c r="C118" s="18" t="s">
        <v>42</v>
      </c>
      <c r="D118" s="18">
        <v>1.5</v>
      </c>
      <c r="E118" s="34">
        <v>37915837.035300002</v>
      </c>
      <c r="F118" s="45">
        <v>89612005</v>
      </c>
      <c r="G118">
        <v>355162014</v>
      </c>
      <c r="H118">
        <v>110</v>
      </c>
      <c r="I118">
        <v>1.65</v>
      </c>
      <c r="J118">
        <v>110</v>
      </c>
      <c r="K118">
        <v>1.65</v>
      </c>
    </row>
    <row r="119" spans="1:11" x14ac:dyDescent="0.25">
      <c r="A119" s="18">
        <v>26</v>
      </c>
      <c r="B119" s="18" t="s">
        <v>40</v>
      </c>
      <c r="C119" s="18" t="s">
        <v>43</v>
      </c>
      <c r="D119" s="18">
        <v>1.5</v>
      </c>
      <c r="E119" s="34">
        <v>217.33250000000001</v>
      </c>
      <c r="F119" s="43">
        <v>267</v>
      </c>
      <c r="G119">
        <v>55.4114</v>
      </c>
      <c r="H119">
        <v>24.29</v>
      </c>
      <c r="I119">
        <v>0.36</v>
      </c>
      <c r="J119">
        <v>20.77</v>
      </c>
      <c r="K119">
        <v>0.31</v>
      </c>
    </row>
    <row r="120" spans="1:11" x14ac:dyDescent="0.25">
      <c r="A120" s="18">
        <v>27</v>
      </c>
      <c r="B120" s="18" t="s">
        <v>44</v>
      </c>
      <c r="C120" s="18" t="s">
        <v>44</v>
      </c>
      <c r="D120" s="18"/>
      <c r="E120" s="34">
        <v>1358708536.5058999</v>
      </c>
      <c r="F120" s="45">
        <v>1683564317</v>
      </c>
      <c r="G120">
        <v>1515917011</v>
      </c>
      <c r="H120">
        <v>105.62</v>
      </c>
      <c r="I120">
        <v>0</v>
      </c>
      <c r="J120">
        <v>90.04</v>
      </c>
      <c r="K120">
        <v>0</v>
      </c>
    </row>
    <row r="121" spans="1:11" ht="15.75" thickBot="1" x14ac:dyDescent="0.3">
      <c r="D121">
        <f>SUM(D94:D120)</f>
        <v>100</v>
      </c>
      <c r="K121" s="47">
        <f>SUM(K94:K120)</f>
        <v>77.360000000000014</v>
      </c>
    </row>
    <row r="122" spans="1:11" ht="15.75" thickBot="1" x14ac:dyDescent="0.3">
      <c r="A122" s="53" t="s">
        <v>66</v>
      </c>
      <c r="B122" s="54"/>
    </row>
    <row r="123" spans="1:11" x14ac:dyDescent="0.25">
      <c r="A123" s="17" t="s">
        <v>0</v>
      </c>
      <c r="B123" s="17" t="s">
        <v>1</v>
      </c>
      <c r="C123" s="17" t="s">
        <v>2</v>
      </c>
      <c r="D123" s="17" t="s">
        <v>3</v>
      </c>
      <c r="E123" s="33" t="s">
        <v>4</v>
      </c>
      <c r="F123" s="41" t="s">
        <v>5</v>
      </c>
      <c r="G123" s="33" t="s">
        <v>6</v>
      </c>
      <c r="H123" s="33" t="s">
        <v>7</v>
      </c>
      <c r="I123" s="33" t="s">
        <v>8</v>
      </c>
      <c r="J123" s="33" t="s">
        <v>9</v>
      </c>
      <c r="K123" s="37" t="s">
        <v>10</v>
      </c>
    </row>
    <row r="124" spans="1:11" x14ac:dyDescent="0.25">
      <c r="A124" s="18">
        <v>1</v>
      </c>
      <c r="B124" s="18" t="s">
        <v>11</v>
      </c>
      <c r="C124" s="18" t="s">
        <v>12</v>
      </c>
      <c r="D124" s="18">
        <v>10</v>
      </c>
      <c r="E124" s="34">
        <v>24023973498.683998</v>
      </c>
      <c r="F124" s="42">
        <v>25020277303</v>
      </c>
      <c r="G124">
        <v>28829140086</v>
      </c>
      <c r="H124">
        <v>118.79</v>
      </c>
      <c r="I124">
        <v>11.88</v>
      </c>
      <c r="J124">
        <v>115.22</v>
      </c>
      <c r="K124">
        <v>11.52</v>
      </c>
    </row>
    <row r="125" spans="1:11" x14ac:dyDescent="0.25">
      <c r="A125" s="18">
        <v>2</v>
      </c>
      <c r="B125" s="18" t="s">
        <v>11</v>
      </c>
      <c r="C125" s="18" t="s">
        <v>13</v>
      </c>
      <c r="D125" s="18">
        <v>5</v>
      </c>
      <c r="E125" s="34">
        <v>6232784039.9209003</v>
      </c>
      <c r="F125" s="42">
        <v>6338790652</v>
      </c>
      <c r="G125">
        <v>5357216661</v>
      </c>
      <c r="H125">
        <v>85.6</v>
      </c>
      <c r="I125">
        <v>4.28</v>
      </c>
      <c r="J125">
        <v>84.51</v>
      </c>
      <c r="K125">
        <v>4.2300000000000004</v>
      </c>
    </row>
    <row r="126" spans="1:11" x14ac:dyDescent="0.25">
      <c r="A126" s="18">
        <v>3</v>
      </c>
      <c r="B126" s="18" t="s">
        <v>11</v>
      </c>
      <c r="C126" s="18" t="s">
        <v>14</v>
      </c>
      <c r="D126" s="18">
        <v>7.5</v>
      </c>
      <c r="E126" s="34">
        <v>2022078842.3545001</v>
      </c>
      <c r="F126" s="42">
        <v>2269886397</v>
      </c>
      <c r="G126">
        <v>2135214880</v>
      </c>
      <c r="H126">
        <v>102.63</v>
      </c>
      <c r="I126">
        <v>7.7</v>
      </c>
      <c r="J126">
        <v>94.07</v>
      </c>
      <c r="K126">
        <v>7.06</v>
      </c>
    </row>
    <row r="127" spans="1:11" x14ac:dyDescent="0.25">
      <c r="A127" s="18">
        <v>4</v>
      </c>
      <c r="B127" s="18" t="s">
        <v>11</v>
      </c>
      <c r="C127" s="18" t="s">
        <v>15</v>
      </c>
      <c r="D127" s="18">
        <v>5</v>
      </c>
      <c r="E127" s="34">
        <v>32733409774.48</v>
      </c>
      <c r="F127" s="42">
        <v>35200641591</v>
      </c>
      <c r="G127">
        <v>37905187824</v>
      </c>
      <c r="H127">
        <v>110</v>
      </c>
      <c r="I127">
        <v>5.5</v>
      </c>
      <c r="J127">
        <v>107.68</v>
      </c>
      <c r="K127">
        <v>5.38</v>
      </c>
    </row>
    <row r="128" spans="1:11" x14ac:dyDescent="0.25">
      <c r="A128" s="18">
        <v>5</v>
      </c>
      <c r="B128" s="18" t="s">
        <v>16</v>
      </c>
      <c r="C128" s="18" t="s">
        <v>16</v>
      </c>
      <c r="D128" s="18">
        <v>10</v>
      </c>
      <c r="E128" s="34">
        <v>1635957189.2140999</v>
      </c>
      <c r="F128" s="42">
        <v>5122308848</v>
      </c>
      <c r="G128">
        <v>2415132035.1440001</v>
      </c>
      <c r="H128">
        <v>97.28</v>
      </c>
      <c r="I128">
        <v>9.73</v>
      </c>
      <c r="J128">
        <v>47.15</v>
      </c>
      <c r="K128">
        <v>4.71</v>
      </c>
    </row>
    <row r="129" spans="1:11" x14ac:dyDescent="0.25">
      <c r="A129" s="18">
        <v>6</v>
      </c>
      <c r="B129" s="18" t="s">
        <v>17</v>
      </c>
      <c r="C129" s="18" t="s">
        <v>17</v>
      </c>
      <c r="D129" s="18"/>
      <c r="E129" s="34"/>
      <c r="F129" s="39"/>
      <c r="G129">
        <v>11.25</v>
      </c>
      <c r="H129">
        <v>0</v>
      </c>
      <c r="I129"/>
      <c r="J129">
        <v>0</v>
      </c>
      <c r="K129"/>
    </row>
    <row r="130" spans="1:11" x14ac:dyDescent="0.25">
      <c r="A130" s="18">
        <v>7</v>
      </c>
      <c r="B130" s="18" t="s">
        <v>18</v>
      </c>
      <c r="C130" s="18" t="s">
        <v>19</v>
      </c>
      <c r="D130" s="18">
        <v>5</v>
      </c>
      <c r="E130" s="34">
        <v>627.55769999999995</v>
      </c>
      <c r="F130" s="39">
        <v>1889</v>
      </c>
      <c r="G130">
        <v>556</v>
      </c>
      <c r="H130">
        <v>61.71</v>
      </c>
      <c r="I130">
        <v>3.09</v>
      </c>
      <c r="J130">
        <v>29.44</v>
      </c>
      <c r="K130">
        <v>1.47</v>
      </c>
    </row>
    <row r="131" spans="1:11" x14ac:dyDescent="0.25">
      <c r="A131" s="18">
        <v>8</v>
      </c>
      <c r="B131" s="18" t="s">
        <v>18</v>
      </c>
      <c r="C131" s="18" t="s">
        <v>20</v>
      </c>
      <c r="D131" s="18">
        <v>2.5</v>
      </c>
      <c r="E131" s="34">
        <v>13.599600000000001</v>
      </c>
      <c r="F131" s="39">
        <v>41</v>
      </c>
      <c r="G131">
        <v>51</v>
      </c>
      <c r="H131">
        <v>110</v>
      </c>
      <c r="I131">
        <v>2.75</v>
      </c>
      <c r="J131">
        <v>110</v>
      </c>
      <c r="K131">
        <v>2.75</v>
      </c>
    </row>
    <row r="132" spans="1:11" x14ac:dyDescent="0.25">
      <c r="A132" s="18">
        <v>9</v>
      </c>
      <c r="B132" s="18" t="s">
        <v>18</v>
      </c>
      <c r="C132" s="18" t="s">
        <v>21</v>
      </c>
      <c r="D132" s="18">
        <v>5</v>
      </c>
      <c r="E132" s="34">
        <v>4365.3759</v>
      </c>
      <c r="F132" s="39">
        <v>6428</v>
      </c>
      <c r="G132">
        <v>4450</v>
      </c>
      <c r="H132">
        <v>92.8</v>
      </c>
      <c r="I132">
        <v>4.6399999999999997</v>
      </c>
      <c r="J132">
        <v>69.22</v>
      </c>
      <c r="K132">
        <v>3.46</v>
      </c>
    </row>
    <row r="133" spans="1:11" x14ac:dyDescent="0.25">
      <c r="A133" s="18">
        <v>10</v>
      </c>
      <c r="B133" s="18" t="s">
        <v>18</v>
      </c>
      <c r="C133" s="18" t="s">
        <v>22</v>
      </c>
      <c r="D133" s="18">
        <v>5</v>
      </c>
      <c r="E133" s="34">
        <v>239.10499999999999</v>
      </c>
      <c r="F133" s="39">
        <v>284</v>
      </c>
      <c r="G133">
        <v>271</v>
      </c>
      <c r="H133">
        <v>108.59</v>
      </c>
      <c r="I133">
        <v>5.43</v>
      </c>
      <c r="J133">
        <v>95.49</v>
      </c>
      <c r="K133">
        <v>4.7699999999999996</v>
      </c>
    </row>
    <row r="134" spans="1:11" x14ac:dyDescent="0.25">
      <c r="A134" s="18">
        <v>11</v>
      </c>
      <c r="B134" s="18" t="s">
        <v>23</v>
      </c>
      <c r="C134" s="18" t="s">
        <v>24</v>
      </c>
      <c r="D134" s="18">
        <v>3</v>
      </c>
      <c r="E134" s="34">
        <v>0.28539999999999999</v>
      </c>
      <c r="F134" s="39">
        <v>0.31</v>
      </c>
      <c r="G134">
        <v>0</v>
      </c>
      <c r="H134">
        <v>110</v>
      </c>
      <c r="I134">
        <v>3.3</v>
      </c>
      <c r="J134">
        <v>110</v>
      </c>
      <c r="K134">
        <v>3.3</v>
      </c>
    </row>
    <row r="135" spans="1:11" x14ac:dyDescent="0.25">
      <c r="A135" s="18">
        <v>12</v>
      </c>
      <c r="B135" s="18" t="s">
        <v>23</v>
      </c>
      <c r="C135" s="18" t="s">
        <v>25</v>
      </c>
      <c r="D135" s="18">
        <v>2</v>
      </c>
      <c r="E135" s="34">
        <v>3.7616000000000001</v>
      </c>
      <c r="F135" s="39">
        <v>3.63</v>
      </c>
      <c r="G135">
        <v>2.08</v>
      </c>
      <c r="H135">
        <v>110</v>
      </c>
      <c r="I135">
        <v>2.2000000000000002</v>
      </c>
      <c r="J135">
        <v>110</v>
      </c>
      <c r="K135">
        <v>2.2000000000000002</v>
      </c>
    </row>
    <row r="136" spans="1:11" x14ac:dyDescent="0.25">
      <c r="A136" s="18">
        <v>13</v>
      </c>
      <c r="B136" s="18" t="s">
        <v>23</v>
      </c>
      <c r="C136" s="18" t="s">
        <v>26</v>
      </c>
      <c r="D136" s="18">
        <v>2.5</v>
      </c>
      <c r="E136" s="34">
        <v>0.87649999999999995</v>
      </c>
      <c r="F136" s="39">
        <v>0.87</v>
      </c>
      <c r="G136">
        <v>0.71</v>
      </c>
      <c r="H136">
        <v>110</v>
      </c>
      <c r="I136">
        <v>2.75</v>
      </c>
      <c r="J136">
        <v>110</v>
      </c>
      <c r="K136">
        <v>2.75</v>
      </c>
    </row>
    <row r="137" spans="1:11" x14ac:dyDescent="0.25">
      <c r="A137" s="18">
        <v>14</v>
      </c>
      <c r="B137" s="18" t="s">
        <v>23</v>
      </c>
      <c r="C137" s="18" t="s">
        <v>27</v>
      </c>
      <c r="D137" s="18">
        <v>3</v>
      </c>
      <c r="E137" s="34">
        <v>2.4859</v>
      </c>
      <c r="F137" s="39">
        <v>2.75</v>
      </c>
      <c r="G137">
        <v>3.41</v>
      </c>
      <c r="H137">
        <v>76.52</v>
      </c>
      <c r="I137">
        <v>2.2999999999999998</v>
      </c>
      <c r="J137">
        <v>80.77</v>
      </c>
      <c r="K137">
        <v>2.42</v>
      </c>
    </row>
    <row r="138" spans="1:11" x14ac:dyDescent="0.25">
      <c r="A138" s="18">
        <v>15</v>
      </c>
      <c r="B138" s="18" t="s">
        <v>23</v>
      </c>
      <c r="C138" s="18" t="s">
        <v>28</v>
      </c>
      <c r="D138" s="18">
        <v>2</v>
      </c>
      <c r="E138" s="34">
        <v>14.992000000000001</v>
      </c>
      <c r="F138" s="39">
        <v>14.83</v>
      </c>
      <c r="G138">
        <v>16.05</v>
      </c>
      <c r="H138">
        <v>94</v>
      </c>
      <c r="I138">
        <v>1.88</v>
      </c>
      <c r="J138">
        <v>92.43</v>
      </c>
      <c r="K138">
        <v>1.85</v>
      </c>
    </row>
    <row r="139" spans="1:11" x14ac:dyDescent="0.25">
      <c r="A139" s="18">
        <v>16</v>
      </c>
      <c r="B139" s="18" t="s">
        <v>23</v>
      </c>
      <c r="C139" s="18" t="s">
        <v>29</v>
      </c>
      <c r="D139" s="18">
        <v>2.5</v>
      </c>
      <c r="E139" s="34">
        <v>10.8332</v>
      </c>
      <c r="F139" s="39">
        <v>11.04</v>
      </c>
      <c r="G139">
        <v>12.3</v>
      </c>
      <c r="H139">
        <v>90.41</v>
      </c>
      <c r="I139">
        <v>2.2599999999999998</v>
      </c>
      <c r="J139">
        <v>89.79</v>
      </c>
      <c r="K139">
        <v>2.2400000000000002</v>
      </c>
    </row>
    <row r="140" spans="1:11" x14ac:dyDescent="0.25">
      <c r="A140" s="18">
        <v>17</v>
      </c>
      <c r="B140" s="18" t="s">
        <v>30</v>
      </c>
      <c r="C140" s="18" t="s">
        <v>31</v>
      </c>
      <c r="D140" s="18"/>
      <c r="E140" s="34"/>
      <c r="F140" s="39"/>
      <c r="G140"/>
      <c r="H140">
        <v>0</v>
      </c>
      <c r="I140"/>
      <c r="J140">
        <v>0</v>
      </c>
      <c r="K140"/>
    </row>
    <row r="141" spans="1:11" x14ac:dyDescent="0.25">
      <c r="A141" s="18">
        <v>18</v>
      </c>
      <c r="B141" s="18" t="s">
        <v>32</v>
      </c>
      <c r="C141" s="18" t="s">
        <v>33</v>
      </c>
      <c r="D141" s="18">
        <v>2.5</v>
      </c>
      <c r="E141" s="34">
        <v>432.41070000000002</v>
      </c>
      <c r="F141" s="39">
        <v>563</v>
      </c>
      <c r="G141">
        <v>102</v>
      </c>
      <c r="H141">
        <v>21.84</v>
      </c>
      <c r="I141">
        <v>0.55000000000000004</v>
      </c>
      <c r="J141">
        <v>18.12</v>
      </c>
      <c r="K141">
        <v>0.45</v>
      </c>
    </row>
    <row r="142" spans="1:11" x14ac:dyDescent="0.25">
      <c r="A142" s="18">
        <v>19</v>
      </c>
      <c r="B142" s="18" t="s">
        <v>32</v>
      </c>
      <c r="C142" s="18" t="s">
        <v>34</v>
      </c>
      <c r="D142" s="18">
        <v>2.5</v>
      </c>
      <c r="E142" s="34">
        <v>2343.6232</v>
      </c>
      <c r="F142" s="39">
        <v>2685</v>
      </c>
      <c r="G142">
        <v>1882.9887000000001</v>
      </c>
      <c r="H142">
        <v>78.44</v>
      </c>
      <c r="I142">
        <v>1.96</v>
      </c>
      <c r="J142">
        <v>70.12</v>
      </c>
      <c r="K142">
        <v>1.75</v>
      </c>
    </row>
    <row r="143" spans="1:11" x14ac:dyDescent="0.25">
      <c r="A143" s="18">
        <v>20</v>
      </c>
      <c r="B143" s="18" t="s">
        <v>32</v>
      </c>
      <c r="C143" s="18" t="s">
        <v>35</v>
      </c>
      <c r="D143" s="18">
        <v>5</v>
      </c>
      <c r="E143" s="34">
        <v>454.07400000000001</v>
      </c>
      <c r="F143" s="39">
        <v>1521</v>
      </c>
      <c r="G143">
        <v>597</v>
      </c>
      <c r="H143">
        <v>83.07</v>
      </c>
      <c r="I143">
        <v>4.1500000000000004</v>
      </c>
      <c r="J143">
        <v>39.24</v>
      </c>
      <c r="K143">
        <v>1.96</v>
      </c>
    </row>
    <row r="144" spans="1:11" x14ac:dyDescent="0.25">
      <c r="A144" s="18">
        <v>21</v>
      </c>
      <c r="B144" s="18" t="s">
        <v>36</v>
      </c>
      <c r="C144" s="18" t="s">
        <v>37</v>
      </c>
      <c r="D144" s="18">
        <v>5</v>
      </c>
      <c r="E144" s="34">
        <v>320.93060000000003</v>
      </c>
      <c r="F144" s="39">
        <v>1067</v>
      </c>
      <c r="G144">
        <v>936</v>
      </c>
      <c r="H144">
        <v>110</v>
      </c>
      <c r="I144">
        <v>5.5</v>
      </c>
      <c r="J144">
        <v>87.73</v>
      </c>
      <c r="K144">
        <v>4.3899999999999997</v>
      </c>
    </row>
    <row r="145" spans="1:11" x14ac:dyDescent="0.25">
      <c r="A145" s="18">
        <v>22</v>
      </c>
      <c r="B145" s="18" t="s">
        <v>36</v>
      </c>
      <c r="C145" s="18" t="s">
        <v>38</v>
      </c>
      <c r="D145" s="18">
        <v>5</v>
      </c>
      <c r="E145" s="34">
        <v>448879916.80989999</v>
      </c>
      <c r="F145" s="42">
        <v>773770278</v>
      </c>
      <c r="G145">
        <v>499550711</v>
      </c>
      <c r="H145">
        <v>94.95</v>
      </c>
      <c r="I145">
        <v>4.75</v>
      </c>
      <c r="J145">
        <v>64.56</v>
      </c>
      <c r="K145">
        <v>3.23</v>
      </c>
    </row>
    <row r="146" spans="1:11" x14ac:dyDescent="0.25">
      <c r="A146" s="18">
        <v>23</v>
      </c>
      <c r="B146" s="18" t="s">
        <v>36</v>
      </c>
      <c r="C146" s="18" t="s">
        <v>39</v>
      </c>
      <c r="D146" s="18">
        <v>5</v>
      </c>
      <c r="E146" s="34">
        <v>3085.9697000000001</v>
      </c>
      <c r="F146" s="39">
        <v>10259</v>
      </c>
      <c r="G146">
        <v>3792</v>
      </c>
      <c r="H146">
        <v>80.33</v>
      </c>
      <c r="I146">
        <v>4.0199999999999996</v>
      </c>
      <c r="J146">
        <v>36.96</v>
      </c>
      <c r="K146">
        <v>1.85</v>
      </c>
    </row>
    <row r="147" spans="1:11" x14ac:dyDescent="0.25">
      <c r="A147" s="18">
        <v>24</v>
      </c>
      <c r="B147" s="18" t="s">
        <v>40</v>
      </c>
      <c r="C147" s="18" t="s">
        <v>41</v>
      </c>
      <c r="D147" s="18">
        <v>2</v>
      </c>
      <c r="E147" s="34">
        <v>78.760000000000005</v>
      </c>
      <c r="F147" s="39">
        <v>78.760000000000005</v>
      </c>
      <c r="G147">
        <v>84.48</v>
      </c>
      <c r="H147">
        <v>107.26</v>
      </c>
      <c r="I147">
        <v>2.15</v>
      </c>
      <c r="J147">
        <v>107.26</v>
      </c>
      <c r="K147">
        <v>2.15</v>
      </c>
    </row>
    <row r="148" spans="1:11" x14ac:dyDescent="0.25">
      <c r="A148" s="18">
        <v>25</v>
      </c>
      <c r="B148" s="18" t="s">
        <v>40</v>
      </c>
      <c r="C148" s="18" t="s">
        <v>42</v>
      </c>
      <c r="D148" s="18">
        <v>1.5</v>
      </c>
      <c r="E148" s="34">
        <v>37915837.035300002</v>
      </c>
      <c r="F148" s="42">
        <v>89612005</v>
      </c>
      <c r="G148">
        <v>232396800</v>
      </c>
      <c r="H148">
        <v>110</v>
      </c>
      <c r="I148">
        <v>1.65</v>
      </c>
      <c r="J148">
        <v>110</v>
      </c>
      <c r="K148">
        <v>1.65</v>
      </c>
    </row>
    <row r="149" spans="1:11" x14ac:dyDescent="0.25">
      <c r="A149" s="18">
        <v>26</v>
      </c>
      <c r="B149" s="18" t="s">
        <v>40</v>
      </c>
      <c r="C149" s="18" t="s">
        <v>43</v>
      </c>
      <c r="D149" s="18">
        <v>1.5</v>
      </c>
      <c r="E149" s="34">
        <v>261.73439999999999</v>
      </c>
      <c r="F149" s="39">
        <v>321</v>
      </c>
      <c r="G149">
        <v>278.46850000000001</v>
      </c>
      <c r="H149">
        <v>101.36</v>
      </c>
      <c r="I149">
        <v>1.52</v>
      </c>
      <c r="J149">
        <v>86.65</v>
      </c>
      <c r="K149">
        <v>1.3</v>
      </c>
    </row>
    <row r="150" spans="1:11" x14ac:dyDescent="0.25">
      <c r="A150" s="18">
        <v>27</v>
      </c>
      <c r="B150" s="18" t="s">
        <v>44</v>
      </c>
      <c r="C150" s="18" t="s">
        <v>44</v>
      </c>
      <c r="D150" s="18"/>
      <c r="E150" s="34">
        <v>1739138558.9296999</v>
      </c>
      <c r="F150" s="42">
        <v>2154951957</v>
      </c>
      <c r="G150">
        <v>1466083882</v>
      </c>
      <c r="H150">
        <v>79.8</v>
      </c>
      <c r="I150">
        <v>0</v>
      </c>
      <c r="J150">
        <v>68.03</v>
      </c>
      <c r="K150">
        <v>0</v>
      </c>
    </row>
    <row r="151" spans="1:11" ht="15.75" thickBot="1" x14ac:dyDescent="0.3">
      <c r="D151">
        <f>SUM(D124:D150)</f>
        <v>100</v>
      </c>
      <c r="K151" s="47">
        <f>SUM(K124:K150)</f>
        <v>78.84</v>
      </c>
    </row>
    <row r="152" spans="1:11" ht="15.75" thickBot="1" x14ac:dyDescent="0.3">
      <c r="A152" s="53" t="s">
        <v>67</v>
      </c>
      <c r="B152" s="54"/>
    </row>
    <row r="153" spans="1:11" x14ac:dyDescent="0.25">
      <c r="A153" s="17" t="s">
        <v>0</v>
      </c>
      <c r="B153" s="17" t="s">
        <v>1</v>
      </c>
      <c r="C153" s="17" t="s">
        <v>2</v>
      </c>
      <c r="D153" s="17" t="s">
        <v>3</v>
      </c>
      <c r="E153" s="33" t="s">
        <v>4</v>
      </c>
      <c r="F153" s="41" t="s">
        <v>5</v>
      </c>
      <c r="G153" s="33" t="s">
        <v>6</v>
      </c>
      <c r="H153" s="33" t="s">
        <v>7</v>
      </c>
      <c r="I153" s="33" t="s">
        <v>8</v>
      </c>
      <c r="J153" s="33" t="s">
        <v>9</v>
      </c>
      <c r="K153" s="37" t="s">
        <v>10</v>
      </c>
    </row>
    <row r="154" spans="1:11" x14ac:dyDescent="0.25">
      <c r="A154" s="18">
        <v>1</v>
      </c>
      <c r="B154" s="18" t="s">
        <v>11</v>
      </c>
      <c r="C154" s="18" t="s">
        <v>12</v>
      </c>
      <c r="D154" s="18">
        <v>12.5</v>
      </c>
      <c r="E154" s="34">
        <v>7894198200.8739004</v>
      </c>
      <c r="F154" s="42">
        <v>8226946715</v>
      </c>
      <c r="G154">
        <v>10702857731</v>
      </c>
      <c r="H154">
        <v>134.19</v>
      </c>
      <c r="I154">
        <v>16.77</v>
      </c>
      <c r="J154">
        <v>130.1</v>
      </c>
      <c r="K154">
        <v>16.260000000000002</v>
      </c>
    </row>
    <row r="155" spans="1:11" x14ac:dyDescent="0.25">
      <c r="A155" s="18">
        <v>2</v>
      </c>
      <c r="B155" s="18" t="s">
        <v>11</v>
      </c>
      <c r="C155" s="18" t="s">
        <v>13</v>
      </c>
      <c r="D155" s="18"/>
      <c r="E155" s="34"/>
      <c r="F155" s="42">
        <v>348962534</v>
      </c>
      <c r="G155">
        <v>498264482</v>
      </c>
      <c r="H155">
        <v>0</v>
      </c>
      <c r="I155"/>
      <c r="J155">
        <v>0</v>
      </c>
      <c r="K155"/>
    </row>
    <row r="156" spans="1:11" x14ac:dyDescent="0.25">
      <c r="A156" s="18">
        <v>3</v>
      </c>
      <c r="B156" s="18" t="s">
        <v>11</v>
      </c>
      <c r="C156" s="18" t="s">
        <v>14</v>
      </c>
      <c r="D156" s="18">
        <v>10</v>
      </c>
      <c r="E156" s="34">
        <v>1896475373.2279999</v>
      </c>
      <c r="F156" s="42">
        <v>2123756680</v>
      </c>
      <c r="G156">
        <v>1283628662</v>
      </c>
      <c r="H156">
        <v>65.83</v>
      </c>
      <c r="I156">
        <v>6.58</v>
      </c>
      <c r="J156">
        <v>60.44</v>
      </c>
      <c r="K156">
        <v>6.04</v>
      </c>
    </row>
    <row r="157" spans="1:11" x14ac:dyDescent="0.25">
      <c r="A157" s="18">
        <v>4</v>
      </c>
      <c r="B157" s="18" t="s">
        <v>11</v>
      </c>
      <c r="C157" s="18" t="s">
        <v>15</v>
      </c>
      <c r="D157" s="18">
        <v>5</v>
      </c>
      <c r="E157" s="34">
        <v>10021691330.938</v>
      </c>
      <c r="F157" s="42">
        <v>10848655273</v>
      </c>
      <c r="G157">
        <v>13220402907</v>
      </c>
      <c r="H157">
        <v>110</v>
      </c>
      <c r="I157">
        <v>5.5</v>
      </c>
      <c r="J157">
        <v>110</v>
      </c>
      <c r="K157">
        <v>5.5</v>
      </c>
    </row>
    <row r="158" spans="1:11" x14ac:dyDescent="0.25">
      <c r="A158" s="18">
        <v>5</v>
      </c>
      <c r="B158" s="18" t="s">
        <v>16</v>
      </c>
      <c r="C158" s="18" t="s">
        <v>16</v>
      </c>
      <c r="D158" s="18">
        <v>10</v>
      </c>
      <c r="E158" s="34">
        <v>530192579.38499999</v>
      </c>
      <c r="F158" s="42">
        <v>1660074089</v>
      </c>
      <c r="G158">
        <v>721635315.75450003</v>
      </c>
      <c r="H158">
        <v>89.69</v>
      </c>
      <c r="I158">
        <v>8.9700000000000006</v>
      </c>
      <c r="J158">
        <v>43.47</v>
      </c>
      <c r="K158">
        <v>4.3499999999999996</v>
      </c>
    </row>
    <row r="159" spans="1:11" x14ac:dyDescent="0.25">
      <c r="A159" s="18">
        <v>6</v>
      </c>
      <c r="B159" s="18" t="s">
        <v>17</v>
      </c>
      <c r="C159" s="18" t="s">
        <v>17</v>
      </c>
      <c r="D159" s="18"/>
      <c r="E159" s="34"/>
      <c r="F159" s="39"/>
      <c r="G159">
        <v>24.96</v>
      </c>
      <c r="H159">
        <v>0</v>
      </c>
      <c r="I159"/>
      <c r="J159">
        <v>0</v>
      </c>
      <c r="K159"/>
    </row>
    <row r="160" spans="1:11" x14ac:dyDescent="0.25">
      <c r="A160" s="18">
        <v>7</v>
      </c>
      <c r="B160" s="18" t="s">
        <v>18</v>
      </c>
      <c r="C160" s="18" t="s">
        <v>19</v>
      </c>
      <c r="D160" s="18">
        <v>5</v>
      </c>
      <c r="E160" s="34">
        <v>337.2079</v>
      </c>
      <c r="F160" s="39">
        <v>1197</v>
      </c>
      <c r="G160">
        <v>339</v>
      </c>
      <c r="H160">
        <v>66.78</v>
      </c>
      <c r="I160">
        <v>3.34</v>
      </c>
      <c r="J160">
        <v>28.31</v>
      </c>
      <c r="K160">
        <v>1.42</v>
      </c>
    </row>
    <row r="161" spans="1:11" x14ac:dyDescent="0.25">
      <c r="A161" s="18">
        <v>8</v>
      </c>
      <c r="B161" s="18" t="s">
        <v>18</v>
      </c>
      <c r="C161" s="18" t="s">
        <v>20</v>
      </c>
      <c r="D161" s="18">
        <v>2.5</v>
      </c>
      <c r="E161" s="34">
        <v>36.094000000000001</v>
      </c>
      <c r="F161" s="39">
        <v>108</v>
      </c>
      <c r="G161">
        <v>58</v>
      </c>
      <c r="H161">
        <v>107.13</v>
      </c>
      <c r="I161">
        <v>2.68</v>
      </c>
      <c r="J161">
        <v>53.56</v>
      </c>
      <c r="K161">
        <v>1.34</v>
      </c>
    </row>
    <row r="162" spans="1:11" x14ac:dyDescent="0.25">
      <c r="A162" s="18">
        <v>9</v>
      </c>
      <c r="B162" s="18" t="s">
        <v>18</v>
      </c>
      <c r="C162" s="18" t="s">
        <v>21</v>
      </c>
      <c r="D162" s="18">
        <v>5</v>
      </c>
      <c r="E162" s="34">
        <v>2032.5995</v>
      </c>
      <c r="F162" s="39">
        <v>3048</v>
      </c>
      <c r="G162">
        <v>1985</v>
      </c>
      <c r="H162">
        <v>88.27</v>
      </c>
      <c r="I162">
        <v>4.41</v>
      </c>
      <c r="J162">
        <v>65.12</v>
      </c>
      <c r="K162">
        <v>3.26</v>
      </c>
    </row>
    <row r="163" spans="1:11" x14ac:dyDescent="0.25">
      <c r="A163" s="18">
        <v>10</v>
      </c>
      <c r="B163" s="18" t="s">
        <v>18</v>
      </c>
      <c r="C163" s="18" t="s">
        <v>22</v>
      </c>
      <c r="D163" s="18">
        <v>5</v>
      </c>
      <c r="E163" s="34">
        <v>114.7603</v>
      </c>
      <c r="F163" s="39">
        <v>136</v>
      </c>
      <c r="G163">
        <v>124</v>
      </c>
      <c r="H163">
        <v>103.52</v>
      </c>
      <c r="I163">
        <v>5.18</v>
      </c>
      <c r="J163">
        <v>91.03</v>
      </c>
      <c r="K163">
        <v>4.55</v>
      </c>
    </row>
    <row r="164" spans="1:11" x14ac:dyDescent="0.25">
      <c r="A164" s="18">
        <v>11</v>
      </c>
      <c r="B164" s="18" t="s">
        <v>23</v>
      </c>
      <c r="C164" s="18" t="s">
        <v>24</v>
      </c>
      <c r="D164" s="18">
        <v>3</v>
      </c>
      <c r="E164" s="34">
        <v>0.2858</v>
      </c>
      <c r="F164" s="39">
        <v>0.31</v>
      </c>
      <c r="G164">
        <v>0</v>
      </c>
      <c r="H164">
        <v>110</v>
      </c>
      <c r="I164">
        <v>3.3</v>
      </c>
      <c r="J164">
        <v>110</v>
      </c>
      <c r="K164">
        <v>3.3</v>
      </c>
    </row>
    <row r="165" spans="1:11" x14ac:dyDescent="0.25">
      <c r="A165" s="18">
        <v>12</v>
      </c>
      <c r="B165" s="18" t="s">
        <v>23</v>
      </c>
      <c r="C165" s="18" t="s">
        <v>25</v>
      </c>
      <c r="D165" s="18">
        <v>2</v>
      </c>
      <c r="E165" s="34">
        <v>15.505599999999999</v>
      </c>
      <c r="F165" s="39">
        <v>14.97</v>
      </c>
      <c r="G165">
        <v>5.54</v>
      </c>
      <c r="H165">
        <v>110</v>
      </c>
      <c r="I165">
        <v>2.2000000000000002</v>
      </c>
      <c r="J165">
        <v>110</v>
      </c>
      <c r="K165">
        <v>2.2000000000000002</v>
      </c>
    </row>
    <row r="166" spans="1:11" x14ac:dyDescent="0.25">
      <c r="A166" s="18">
        <v>13</v>
      </c>
      <c r="B166" s="18" t="s">
        <v>23</v>
      </c>
      <c r="C166" s="18" t="s">
        <v>26</v>
      </c>
      <c r="D166" s="18">
        <v>2.5</v>
      </c>
      <c r="E166" s="34">
        <v>0.87019999999999997</v>
      </c>
      <c r="F166" s="39">
        <v>0.87</v>
      </c>
      <c r="G166">
        <v>0</v>
      </c>
      <c r="H166">
        <v>110</v>
      </c>
      <c r="I166">
        <v>2.75</v>
      </c>
      <c r="J166">
        <v>110</v>
      </c>
      <c r="K166">
        <v>2.75</v>
      </c>
    </row>
    <row r="167" spans="1:11" x14ac:dyDescent="0.25">
      <c r="A167" s="18">
        <v>14</v>
      </c>
      <c r="B167" s="18" t="s">
        <v>23</v>
      </c>
      <c r="C167" s="18" t="s">
        <v>27</v>
      </c>
      <c r="D167" s="18">
        <v>3</v>
      </c>
      <c r="E167" s="34">
        <v>2.4876999999999998</v>
      </c>
      <c r="F167" s="39">
        <v>2.75</v>
      </c>
      <c r="G167">
        <v>5.62</v>
      </c>
      <c r="H167">
        <v>46.45</v>
      </c>
      <c r="I167">
        <v>1.39</v>
      </c>
      <c r="J167">
        <v>49.01</v>
      </c>
      <c r="K167">
        <v>1.47</v>
      </c>
    </row>
    <row r="168" spans="1:11" x14ac:dyDescent="0.25">
      <c r="A168" s="18">
        <v>15</v>
      </c>
      <c r="B168" s="18" t="s">
        <v>23</v>
      </c>
      <c r="C168" s="18" t="s">
        <v>28</v>
      </c>
      <c r="D168" s="18">
        <v>2</v>
      </c>
      <c r="E168" s="34">
        <v>23.9175</v>
      </c>
      <c r="F168" s="39">
        <v>23.86</v>
      </c>
      <c r="G168">
        <v>30.5</v>
      </c>
      <c r="H168">
        <v>79.010000000000005</v>
      </c>
      <c r="I168">
        <v>1.58</v>
      </c>
      <c r="J168">
        <v>78.239999999999995</v>
      </c>
      <c r="K168">
        <v>1.56</v>
      </c>
    </row>
    <row r="169" spans="1:11" x14ac:dyDescent="0.25">
      <c r="A169" s="18">
        <v>16</v>
      </c>
      <c r="B169" s="18" t="s">
        <v>23</v>
      </c>
      <c r="C169" s="18" t="s">
        <v>29</v>
      </c>
      <c r="D169" s="18">
        <v>2.5</v>
      </c>
      <c r="E169" s="34">
        <v>10.795</v>
      </c>
      <c r="F169" s="39">
        <v>11.04</v>
      </c>
      <c r="G169">
        <v>8.61</v>
      </c>
      <c r="H169">
        <v>110</v>
      </c>
      <c r="I169">
        <v>2.75</v>
      </c>
      <c r="J169">
        <v>110</v>
      </c>
      <c r="K169">
        <v>2.75</v>
      </c>
    </row>
    <row r="170" spans="1:11" x14ac:dyDescent="0.25">
      <c r="A170" s="18">
        <v>17</v>
      </c>
      <c r="B170" s="18" t="s">
        <v>30</v>
      </c>
      <c r="C170" s="18" t="s">
        <v>31</v>
      </c>
      <c r="D170" s="18"/>
      <c r="E170" s="34"/>
      <c r="F170" s="39"/>
      <c r="G170"/>
      <c r="H170">
        <v>0</v>
      </c>
      <c r="I170"/>
      <c r="J170">
        <v>0</v>
      </c>
      <c r="K170"/>
    </row>
    <row r="171" spans="1:11" x14ac:dyDescent="0.25">
      <c r="A171" s="18">
        <v>18</v>
      </c>
      <c r="B171" s="18" t="s">
        <v>32</v>
      </c>
      <c r="C171" s="18" t="s">
        <v>33</v>
      </c>
      <c r="D171" s="18">
        <v>2.5</v>
      </c>
      <c r="E171" s="34">
        <v>246.91659999999999</v>
      </c>
      <c r="F171" s="39">
        <v>321</v>
      </c>
      <c r="G171">
        <v>129</v>
      </c>
      <c r="H171">
        <v>48.37</v>
      </c>
      <c r="I171">
        <v>1.21</v>
      </c>
      <c r="J171">
        <v>40.130000000000003</v>
      </c>
      <c r="K171">
        <v>1</v>
      </c>
    </row>
    <row r="172" spans="1:11" x14ac:dyDescent="0.25">
      <c r="A172" s="18">
        <v>19</v>
      </c>
      <c r="B172" s="18" t="s">
        <v>32</v>
      </c>
      <c r="C172" s="18" t="s">
        <v>34</v>
      </c>
      <c r="D172" s="18">
        <v>2.5</v>
      </c>
      <c r="E172" s="34">
        <v>1313.3130000000001</v>
      </c>
      <c r="F172" s="39">
        <v>1505</v>
      </c>
      <c r="G172">
        <v>875.45050000000003</v>
      </c>
      <c r="H172">
        <v>65.08</v>
      </c>
      <c r="I172">
        <v>1.63</v>
      </c>
      <c r="J172">
        <v>58.18</v>
      </c>
      <c r="K172">
        <v>1.45</v>
      </c>
    </row>
    <row r="173" spans="1:11" x14ac:dyDescent="0.25">
      <c r="A173" s="18">
        <v>20</v>
      </c>
      <c r="B173" s="18" t="s">
        <v>32</v>
      </c>
      <c r="C173" s="18" t="s">
        <v>35</v>
      </c>
      <c r="D173" s="18">
        <v>5</v>
      </c>
      <c r="E173" s="34">
        <v>385.14920000000001</v>
      </c>
      <c r="F173" s="39">
        <v>129</v>
      </c>
      <c r="G173">
        <v>410.5</v>
      </c>
      <c r="H173">
        <v>67.34</v>
      </c>
      <c r="I173">
        <v>3.37</v>
      </c>
      <c r="J173">
        <v>31.81</v>
      </c>
      <c r="K173">
        <v>1.59</v>
      </c>
    </row>
    <row r="174" spans="1:11" x14ac:dyDescent="0.25">
      <c r="A174" s="18">
        <v>21</v>
      </c>
      <c r="B174" s="18" t="s">
        <v>36</v>
      </c>
      <c r="C174" s="18" t="s">
        <v>37</v>
      </c>
      <c r="D174" s="18">
        <v>5</v>
      </c>
      <c r="E174" s="34">
        <v>271.19830000000002</v>
      </c>
      <c r="F174" s="39">
        <v>902</v>
      </c>
      <c r="G174">
        <v>377</v>
      </c>
      <c r="H174">
        <v>90.88</v>
      </c>
      <c r="I174">
        <v>4.54</v>
      </c>
      <c r="J174">
        <v>41.82</v>
      </c>
      <c r="K174">
        <v>2.09</v>
      </c>
    </row>
    <row r="175" spans="1:11" x14ac:dyDescent="0.25">
      <c r="A175" s="18">
        <v>22</v>
      </c>
      <c r="B175" s="18" t="s">
        <v>36</v>
      </c>
      <c r="C175" s="18" t="s">
        <v>38</v>
      </c>
      <c r="D175" s="18">
        <v>5</v>
      </c>
      <c r="E175" s="34">
        <v>448879916.80989999</v>
      </c>
      <c r="F175" s="42">
        <v>773770278</v>
      </c>
      <c r="G175">
        <v>248578403</v>
      </c>
      <c r="H175">
        <v>47.25</v>
      </c>
      <c r="I175">
        <v>2.36</v>
      </c>
      <c r="J175">
        <v>32.130000000000003</v>
      </c>
      <c r="K175">
        <v>1.61</v>
      </c>
    </row>
    <row r="176" spans="1:11" x14ac:dyDescent="0.25">
      <c r="A176" s="18">
        <v>23</v>
      </c>
      <c r="B176" s="18" t="s">
        <v>36</v>
      </c>
      <c r="C176" s="18" t="s">
        <v>39</v>
      </c>
      <c r="D176" s="18">
        <v>5</v>
      </c>
      <c r="E176" s="34">
        <v>2444.1889000000001</v>
      </c>
      <c r="F176" s="39">
        <v>8126</v>
      </c>
      <c r="G176">
        <v>1630</v>
      </c>
      <c r="H176">
        <v>43.6</v>
      </c>
      <c r="I176">
        <v>2.1800000000000002</v>
      </c>
      <c r="J176">
        <v>20.059999999999999</v>
      </c>
      <c r="K176">
        <v>1</v>
      </c>
    </row>
    <row r="177" spans="1:11" x14ac:dyDescent="0.25">
      <c r="A177" s="18">
        <v>24</v>
      </c>
      <c r="B177" s="18" t="s">
        <v>40</v>
      </c>
      <c r="C177" s="18" t="s">
        <v>41</v>
      </c>
      <c r="D177" s="18">
        <v>2</v>
      </c>
      <c r="E177" s="34">
        <v>78.760000000000005</v>
      </c>
      <c r="F177" s="39">
        <v>78.760000000000005</v>
      </c>
      <c r="G177">
        <v>89.09</v>
      </c>
      <c r="H177">
        <v>110</v>
      </c>
      <c r="I177">
        <v>2.2000000000000002</v>
      </c>
      <c r="J177">
        <v>110</v>
      </c>
      <c r="K177">
        <v>2.2000000000000002</v>
      </c>
    </row>
    <row r="178" spans="1:11" x14ac:dyDescent="0.25">
      <c r="A178" s="18">
        <v>25</v>
      </c>
      <c r="B178" s="18" t="s">
        <v>40</v>
      </c>
      <c r="C178" s="18" t="s">
        <v>42</v>
      </c>
      <c r="D178" s="18">
        <v>1.5</v>
      </c>
      <c r="E178" s="34">
        <v>37915837.035300002</v>
      </c>
      <c r="F178" s="42">
        <v>89612005</v>
      </c>
      <c r="G178">
        <v>232844750</v>
      </c>
      <c r="H178">
        <v>110</v>
      </c>
      <c r="I178">
        <v>1.65</v>
      </c>
      <c r="J178">
        <v>110</v>
      </c>
      <c r="K178">
        <v>1.65</v>
      </c>
    </row>
    <row r="179" spans="1:11" x14ac:dyDescent="0.25">
      <c r="A179" s="18">
        <v>26</v>
      </c>
      <c r="B179" s="18" t="s">
        <v>40</v>
      </c>
      <c r="C179" s="18" t="s">
        <v>43</v>
      </c>
      <c r="D179" s="18">
        <v>1.5</v>
      </c>
      <c r="E179" s="34">
        <v>175.91210000000001</v>
      </c>
      <c r="F179" s="39">
        <v>216</v>
      </c>
      <c r="G179">
        <v>135.81030000000001</v>
      </c>
      <c r="H179">
        <v>73.55</v>
      </c>
      <c r="I179">
        <v>1.1000000000000001</v>
      </c>
      <c r="J179">
        <v>62.88</v>
      </c>
      <c r="K179">
        <v>0.94</v>
      </c>
    </row>
    <row r="180" spans="1:11" x14ac:dyDescent="0.25">
      <c r="A180" s="18">
        <v>27</v>
      </c>
      <c r="B180" s="18" t="s">
        <v>44</v>
      </c>
      <c r="C180" s="18" t="s">
        <v>44</v>
      </c>
      <c r="D180" s="18"/>
      <c r="E180" s="34">
        <v>1812266464.8597</v>
      </c>
      <c r="F180" s="42">
        <v>2245564130</v>
      </c>
      <c r="G180">
        <v>1225719385</v>
      </c>
      <c r="H180">
        <v>64.03</v>
      </c>
      <c r="I180">
        <v>0</v>
      </c>
      <c r="J180">
        <v>54.58</v>
      </c>
      <c r="K180">
        <v>0</v>
      </c>
    </row>
    <row r="181" spans="1:11" ht="15.75" thickBot="1" x14ac:dyDescent="0.3">
      <c r="D181">
        <f>SUM(D154:D180)</f>
        <v>100</v>
      </c>
      <c r="K181" s="47">
        <f>SUM(K154:K180)</f>
        <v>70.280000000000015</v>
      </c>
    </row>
    <row r="182" spans="1:11" ht="15.75" thickBot="1" x14ac:dyDescent="0.3">
      <c r="A182" s="53" t="s">
        <v>68</v>
      </c>
      <c r="B182" s="54"/>
    </row>
    <row r="183" spans="1:11" x14ac:dyDescent="0.25">
      <c r="A183" s="17" t="s">
        <v>0</v>
      </c>
      <c r="B183" s="17" t="s">
        <v>1</v>
      </c>
      <c r="C183" s="17" t="s">
        <v>2</v>
      </c>
      <c r="D183" s="17" t="s">
        <v>3</v>
      </c>
      <c r="E183" s="33" t="s">
        <v>4</v>
      </c>
      <c r="F183" s="41" t="s">
        <v>5</v>
      </c>
      <c r="G183" s="33" t="s">
        <v>6</v>
      </c>
      <c r="H183" s="33" t="s">
        <v>7</v>
      </c>
      <c r="I183" s="33" t="s">
        <v>8</v>
      </c>
      <c r="J183" s="33" t="s">
        <v>9</v>
      </c>
      <c r="K183" s="37" t="s">
        <v>10</v>
      </c>
    </row>
    <row r="184" spans="1:11" x14ac:dyDescent="0.25">
      <c r="A184" s="18">
        <v>1</v>
      </c>
      <c r="B184" s="18" t="s">
        <v>11</v>
      </c>
      <c r="C184" s="18" t="s">
        <v>12</v>
      </c>
      <c r="D184" s="18">
        <v>12.5</v>
      </c>
      <c r="E184" s="34">
        <v>1969969501.9237001</v>
      </c>
      <c r="F184" s="42">
        <v>2051101918</v>
      </c>
      <c r="G184">
        <v>992176999</v>
      </c>
      <c r="H184">
        <v>49.86</v>
      </c>
      <c r="I184">
        <v>6.23</v>
      </c>
      <c r="J184">
        <v>48.37</v>
      </c>
      <c r="K184">
        <v>6.05</v>
      </c>
    </row>
    <row r="185" spans="1:11" x14ac:dyDescent="0.25">
      <c r="A185" s="18">
        <v>2</v>
      </c>
      <c r="B185" s="18" t="s">
        <v>11</v>
      </c>
      <c r="C185" s="18" t="s">
        <v>13</v>
      </c>
      <c r="D185" s="18"/>
      <c r="E185" s="34"/>
      <c r="F185" s="39"/>
      <c r="G185"/>
      <c r="H185">
        <v>0</v>
      </c>
      <c r="I185"/>
      <c r="J185">
        <v>0</v>
      </c>
      <c r="K185"/>
    </row>
    <row r="186" spans="1:11" x14ac:dyDescent="0.25">
      <c r="A186" s="18">
        <v>3</v>
      </c>
      <c r="B186" s="18" t="s">
        <v>11</v>
      </c>
      <c r="C186" s="18" t="s">
        <v>14</v>
      </c>
      <c r="D186" s="18">
        <v>10</v>
      </c>
      <c r="E186" s="34">
        <v>1083334184.4052999</v>
      </c>
      <c r="F186" s="42">
        <v>1211584145</v>
      </c>
      <c r="G186">
        <v>707217110</v>
      </c>
      <c r="H186">
        <v>63.51</v>
      </c>
      <c r="I186">
        <v>6.35</v>
      </c>
      <c r="J186">
        <v>58.37</v>
      </c>
      <c r="K186">
        <v>5.84</v>
      </c>
    </row>
    <row r="187" spans="1:11" x14ac:dyDescent="0.25">
      <c r="A187" s="18">
        <v>4</v>
      </c>
      <c r="B187" s="18" t="s">
        <v>11</v>
      </c>
      <c r="C187" s="18" t="s">
        <v>15</v>
      </c>
      <c r="D187" s="18">
        <v>5</v>
      </c>
      <c r="E187" s="34">
        <v>2572099650.1746998</v>
      </c>
      <c r="F187" s="42">
        <v>2475837838</v>
      </c>
      <c r="G187">
        <v>765192900</v>
      </c>
      <c r="H187">
        <v>29.82</v>
      </c>
      <c r="I187">
        <v>1.49</v>
      </c>
      <c r="J187">
        <v>30.91</v>
      </c>
      <c r="K187">
        <v>1.55</v>
      </c>
    </row>
    <row r="188" spans="1:11" x14ac:dyDescent="0.25">
      <c r="A188" s="18">
        <v>5</v>
      </c>
      <c r="B188" s="18" t="s">
        <v>16</v>
      </c>
      <c r="C188" s="18" t="s">
        <v>16</v>
      </c>
      <c r="D188" s="18">
        <v>10</v>
      </c>
      <c r="E188" s="34">
        <v>145699704.63069999</v>
      </c>
      <c r="F188" s="42">
        <v>456197076</v>
      </c>
      <c r="G188">
        <v>76825973</v>
      </c>
      <c r="H188">
        <v>34.75</v>
      </c>
      <c r="I188">
        <v>3.47</v>
      </c>
      <c r="J188">
        <v>16.84</v>
      </c>
      <c r="K188">
        <v>1.68</v>
      </c>
    </row>
    <row r="189" spans="1:11" x14ac:dyDescent="0.25">
      <c r="A189" s="18">
        <v>6</v>
      </c>
      <c r="B189" s="18" t="s">
        <v>17</v>
      </c>
      <c r="C189" s="18" t="s">
        <v>17</v>
      </c>
      <c r="D189" s="18"/>
      <c r="E189" s="34"/>
      <c r="F189" s="39"/>
      <c r="G189">
        <v>73.989999999999995</v>
      </c>
      <c r="H189">
        <v>0</v>
      </c>
      <c r="I189"/>
      <c r="J189">
        <v>0</v>
      </c>
      <c r="K189"/>
    </row>
    <row r="190" spans="1:11" x14ac:dyDescent="0.25">
      <c r="A190" s="18">
        <v>7</v>
      </c>
      <c r="B190" s="18" t="s">
        <v>18</v>
      </c>
      <c r="C190" s="18" t="s">
        <v>19</v>
      </c>
      <c r="D190" s="18">
        <v>5</v>
      </c>
      <c r="E190" s="34">
        <v>145.02930000000001</v>
      </c>
      <c r="F190" s="39">
        <v>740</v>
      </c>
      <c r="G190">
        <v>138</v>
      </c>
      <c r="H190">
        <v>55.8</v>
      </c>
      <c r="I190">
        <v>2.79</v>
      </c>
      <c r="J190">
        <v>18.66</v>
      </c>
      <c r="K190">
        <v>0.93</v>
      </c>
    </row>
    <row r="191" spans="1:11" x14ac:dyDescent="0.25">
      <c r="A191" s="18">
        <v>8</v>
      </c>
      <c r="B191" s="18" t="s">
        <v>18</v>
      </c>
      <c r="C191" s="18" t="s">
        <v>20</v>
      </c>
      <c r="D191" s="18">
        <v>2.5</v>
      </c>
      <c r="E191" s="34">
        <v>9.8505000000000003</v>
      </c>
      <c r="F191" s="39">
        <v>30</v>
      </c>
      <c r="G191">
        <v>3</v>
      </c>
      <c r="H191">
        <v>20.3</v>
      </c>
      <c r="I191">
        <v>0.51</v>
      </c>
      <c r="J191">
        <v>10.15</v>
      </c>
      <c r="K191">
        <v>0.25</v>
      </c>
    </row>
    <row r="192" spans="1:11" x14ac:dyDescent="0.25">
      <c r="A192" s="18">
        <v>9</v>
      </c>
      <c r="B192" s="18" t="s">
        <v>18</v>
      </c>
      <c r="C192" s="18" t="s">
        <v>21</v>
      </c>
      <c r="D192" s="18">
        <v>5</v>
      </c>
      <c r="E192" s="34">
        <v>507.84120000000001</v>
      </c>
      <c r="F192" s="39">
        <v>801</v>
      </c>
      <c r="G192">
        <v>168</v>
      </c>
      <c r="H192">
        <v>29.28</v>
      </c>
      <c r="I192">
        <v>1.46</v>
      </c>
      <c r="J192">
        <v>20.98</v>
      </c>
      <c r="K192">
        <v>1.05</v>
      </c>
    </row>
    <row r="193" spans="1:11" x14ac:dyDescent="0.25">
      <c r="A193" s="18">
        <v>10</v>
      </c>
      <c r="B193" s="18" t="s">
        <v>18</v>
      </c>
      <c r="C193" s="18" t="s">
        <v>22</v>
      </c>
      <c r="D193" s="18">
        <v>5</v>
      </c>
      <c r="E193" s="34">
        <v>40.607500000000002</v>
      </c>
      <c r="F193" s="39">
        <v>48</v>
      </c>
      <c r="G193">
        <v>22</v>
      </c>
      <c r="H193">
        <v>51.9</v>
      </c>
      <c r="I193">
        <v>2.6</v>
      </c>
      <c r="J193">
        <v>45.64</v>
      </c>
      <c r="K193">
        <v>2.2799999999999998</v>
      </c>
    </row>
    <row r="194" spans="1:11" x14ac:dyDescent="0.25">
      <c r="A194" s="18">
        <v>11</v>
      </c>
      <c r="B194" s="18" t="s">
        <v>23</v>
      </c>
      <c r="C194" s="18" t="s">
        <v>24</v>
      </c>
      <c r="D194" s="18">
        <v>4</v>
      </c>
      <c r="E194" s="34">
        <v>0.28760000000000002</v>
      </c>
      <c r="F194" s="39">
        <v>0.31</v>
      </c>
      <c r="G194">
        <v>0</v>
      </c>
      <c r="H194">
        <v>110</v>
      </c>
      <c r="I194">
        <v>4.4000000000000004</v>
      </c>
      <c r="J194">
        <v>110</v>
      </c>
      <c r="K194">
        <v>4.4000000000000004</v>
      </c>
    </row>
    <row r="195" spans="1:11" x14ac:dyDescent="0.25">
      <c r="A195" s="18">
        <v>12</v>
      </c>
      <c r="B195" s="18" t="s">
        <v>23</v>
      </c>
      <c r="C195" s="18" t="s">
        <v>25</v>
      </c>
      <c r="D195" s="18"/>
      <c r="E195" s="34"/>
      <c r="F195" s="39"/>
      <c r="G195"/>
      <c r="H195">
        <v>0</v>
      </c>
      <c r="I195"/>
      <c r="J195">
        <v>0</v>
      </c>
      <c r="K195"/>
    </row>
    <row r="196" spans="1:11" x14ac:dyDescent="0.25">
      <c r="A196" s="18">
        <v>13</v>
      </c>
      <c r="B196" s="18" t="s">
        <v>23</v>
      </c>
      <c r="C196" s="18" t="s">
        <v>26</v>
      </c>
      <c r="D196" s="18">
        <v>3.5</v>
      </c>
      <c r="E196" s="34">
        <v>0.86839999999999995</v>
      </c>
      <c r="F196" s="39">
        <v>0.87</v>
      </c>
      <c r="G196">
        <v>0</v>
      </c>
      <c r="H196">
        <v>110</v>
      </c>
      <c r="I196">
        <v>3.85</v>
      </c>
      <c r="J196">
        <v>110</v>
      </c>
      <c r="K196">
        <v>3.85</v>
      </c>
    </row>
    <row r="197" spans="1:11" x14ac:dyDescent="0.25">
      <c r="A197" s="18">
        <v>14</v>
      </c>
      <c r="B197" s="18" t="s">
        <v>23</v>
      </c>
      <c r="C197" s="18" t="s">
        <v>27</v>
      </c>
      <c r="D197" s="18">
        <v>4</v>
      </c>
      <c r="E197" s="34">
        <v>2.5202</v>
      </c>
      <c r="F197" s="39">
        <v>2.75</v>
      </c>
      <c r="G197">
        <v>2.97</v>
      </c>
      <c r="H197">
        <v>88.82</v>
      </c>
      <c r="I197">
        <v>3.55</v>
      </c>
      <c r="J197">
        <v>92.73</v>
      </c>
      <c r="K197">
        <v>3.71</v>
      </c>
    </row>
    <row r="198" spans="1:11" x14ac:dyDescent="0.25">
      <c r="A198" s="18">
        <v>15</v>
      </c>
      <c r="B198" s="18" t="s">
        <v>23</v>
      </c>
      <c r="C198" s="18" t="s">
        <v>28</v>
      </c>
      <c r="D198" s="18"/>
      <c r="E198" s="34"/>
      <c r="F198" s="39"/>
      <c r="G198"/>
      <c r="H198">
        <v>0</v>
      </c>
      <c r="I198"/>
      <c r="J198">
        <v>0</v>
      </c>
      <c r="K198"/>
    </row>
    <row r="199" spans="1:11" x14ac:dyDescent="0.25">
      <c r="A199" s="18">
        <v>16</v>
      </c>
      <c r="B199" s="18" t="s">
        <v>23</v>
      </c>
      <c r="C199" s="18" t="s">
        <v>29</v>
      </c>
      <c r="D199" s="18">
        <v>3.5</v>
      </c>
      <c r="E199" s="34">
        <v>10.773099999999999</v>
      </c>
      <c r="F199" s="39">
        <v>11.04</v>
      </c>
      <c r="G199">
        <v>25.49</v>
      </c>
      <c r="H199">
        <v>43.51</v>
      </c>
      <c r="I199">
        <v>1.52</v>
      </c>
      <c r="J199">
        <v>43.33</v>
      </c>
      <c r="K199">
        <v>1.52</v>
      </c>
    </row>
    <row r="200" spans="1:11" x14ac:dyDescent="0.25">
      <c r="A200" s="18">
        <v>17</v>
      </c>
      <c r="B200" s="18" t="s">
        <v>30</v>
      </c>
      <c r="C200" s="18" t="s">
        <v>31</v>
      </c>
      <c r="D200" s="18"/>
      <c r="E200" s="34"/>
      <c r="F200" s="39"/>
      <c r="G200"/>
      <c r="H200">
        <v>0</v>
      </c>
      <c r="I200"/>
      <c r="J200">
        <v>0</v>
      </c>
      <c r="K200"/>
    </row>
    <row r="201" spans="1:11" x14ac:dyDescent="0.25">
      <c r="A201" s="18">
        <v>18</v>
      </c>
      <c r="B201" s="18" t="s">
        <v>32</v>
      </c>
      <c r="C201" s="18" t="s">
        <v>33</v>
      </c>
      <c r="D201" s="18">
        <v>2.5</v>
      </c>
      <c r="E201" s="34">
        <v>100.1224</v>
      </c>
      <c r="F201" s="39">
        <v>130</v>
      </c>
      <c r="G201"/>
      <c r="H201">
        <v>0</v>
      </c>
      <c r="I201">
        <v>0</v>
      </c>
      <c r="J201">
        <v>0</v>
      </c>
      <c r="K201">
        <v>0</v>
      </c>
    </row>
    <row r="202" spans="1:11" x14ac:dyDescent="0.25">
      <c r="A202" s="18">
        <v>19</v>
      </c>
      <c r="B202" s="18" t="s">
        <v>32</v>
      </c>
      <c r="C202" s="18" t="s">
        <v>34</v>
      </c>
      <c r="D202" s="18">
        <v>2.5</v>
      </c>
      <c r="E202" s="34">
        <v>349.09120000000001</v>
      </c>
      <c r="F202" s="39">
        <v>400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5">
      <c r="A203" s="18">
        <v>20</v>
      </c>
      <c r="B203" s="18" t="s">
        <v>32</v>
      </c>
      <c r="C203" s="18" t="s">
        <v>35</v>
      </c>
      <c r="D203" s="18">
        <v>5</v>
      </c>
      <c r="E203" s="34">
        <v>348.02629999999999</v>
      </c>
      <c r="F203" s="39">
        <v>1166</v>
      </c>
      <c r="G203">
        <v>28</v>
      </c>
      <c r="H203">
        <v>5.08</v>
      </c>
      <c r="I203">
        <v>0.25</v>
      </c>
      <c r="J203">
        <v>2.4</v>
      </c>
      <c r="K203">
        <v>0.12</v>
      </c>
    </row>
    <row r="204" spans="1:11" x14ac:dyDescent="0.25">
      <c r="A204" s="18">
        <v>21</v>
      </c>
      <c r="B204" s="18" t="s">
        <v>36</v>
      </c>
      <c r="C204" s="18" t="s">
        <v>37</v>
      </c>
      <c r="D204" s="18">
        <v>5</v>
      </c>
      <c r="E204" s="34">
        <v>173.739</v>
      </c>
      <c r="F204" s="39">
        <v>578</v>
      </c>
      <c r="G204">
        <v>162</v>
      </c>
      <c r="H204">
        <v>60.96</v>
      </c>
      <c r="I204">
        <v>3.05</v>
      </c>
      <c r="J204">
        <v>28.05</v>
      </c>
      <c r="K204">
        <v>1.4</v>
      </c>
    </row>
    <row r="205" spans="1:11" x14ac:dyDescent="0.25">
      <c r="A205" s="18">
        <v>22</v>
      </c>
      <c r="B205" s="18" t="s">
        <v>36</v>
      </c>
      <c r="C205" s="18" t="s">
        <v>38</v>
      </c>
      <c r="D205" s="18">
        <v>5</v>
      </c>
      <c r="E205" s="34">
        <v>448879916.80989999</v>
      </c>
      <c r="F205" s="42">
        <v>773770278</v>
      </c>
      <c r="G205">
        <v>161038700</v>
      </c>
      <c r="H205">
        <v>30.61</v>
      </c>
      <c r="I205">
        <v>1.53</v>
      </c>
      <c r="J205">
        <v>20.81</v>
      </c>
      <c r="K205">
        <v>1.04</v>
      </c>
    </row>
    <row r="206" spans="1:11" x14ac:dyDescent="0.25">
      <c r="A206" s="18">
        <v>23</v>
      </c>
      <c r="B206" s="18" t="s">
        <v>36</v>
      </c>
      <c r="C206" s="18" t="s">
        <v>39</v>
      </c>
      <c r="D206" s="18">
        <v>5</v>
      </c>
      <c r="E206" s="34">
        <v>2325.5744</v>
      </c>
      <c r="F206" s="39">
        <v>7731</v>
      </c>
      <c r="G206">
        <v>555</v>
      </c>
      <c r="H206">
        <v>15.6</v>
      </c>
      <c r="I206">
        <v>0.78</v>
      </c>
      <c r="J206">
        <v>7.18</v>
      </c>
      <c r="K206">
        <v>0.36</v>
      </c>
    </row>
    <row r="207" spans="1:11" x14ac:dyDescent="0.25">
      <c r="A207" s="18">
        <v>24</v>
      </c>
      <c r="B207" s="18" t="s">
        <v>40</v>
      </c>
      <c r="C207" s="18" t="s">
        <v>41</v>
      </c>
      <c r="D207" s="18">
        <v>2</v>
      </c>
      <c r="E207" s="34">
        <v>78.760000000000005</v>
      </c>
      <c r="F207" s="39">
        <v>78.760000000000005</v>
      </c>
      <c r="G207">
        <v>87.54</v>
      </c>
      <c r="H207">
        <v>110</v>
      </c>
      <c r="I207">
        <v>2.2000000000000002</v>
      </c>
      <c r="J207">
        <v>110</v>
      </c>
      <c r="K207">
        <v>2.2000000000000002</v>
      </c>
    </row>
    <row r="208" spans="1:11" x14ac:dyDescent="0.25">
      <c r="A208" s="18">
        <v>25</v>
      </c>
      <c r="B208" s="18" t="s">
        <v>40</v>
      </c>
      <c r="C208" s="18" t="s">
        <v>42</v>
      </c>
      <c r="D208" s="18">
        <v>1.5</v>
      </c>
      <c r="E208" s="34">
        <v>161979515.44530001</v>
      </c>
      <c r="F208" s="42">
        <v>382829717</v>
      </c>
      <c r="G208">
        <v>309068526</v>
      </c>
      <c r="H208">
        <v>110</v>
      </c>
      <c r="I208">
        <v>1.65</v>
      </c>
      <c r="J208">
        <v>80.73</v>
      </c>
      <c r="K208">
        <v>1.21</v>
      </c>
    </row>
    <row r="209" spans="1:11" x14ac:dyDescent="0.25">
      <c r="A209" s="18">
        <v>26</v>
      </c>
      <c r="B209" s="18" t="s">
        <v>40</v>
      </c>
      <c r="C209" s="18" t="s">
        <v>43</v>
      </c>
      <c r="D209" s="18">
        <v>1.5</v>
      </c>
      <c r="E209" s="34">
        <v>121.7837</v>
      </c>
      <c r="F209" s="39">
        <v>150</v>
      </c>
      <c r="G209">
        <v>93.466300000000004</v>
      </c>
      <c r="H209">
        <v>73.12</v>
      </c>
      <c r="I209">
        <v>1.1000000000000001</v>
      </c>
      <c r="J209">
        <v>62.51</v>
      </c>
      <c r="K209">
        <v>0.94</v>
      </c>
    </row>
    <row r="210" spans="1:11" x14ac:dyDescent="0.25">
      <c r="A210" s="18">
        <v>27</v>
      </c>
      <c r="B210" s="18" t="s">
        <v>44</v>
      </c>
      <c r="C210" s="18" t="s">
        <v>44</v>
      </c>
      <c r="D210" s="18"/>
      <c r="E210" s="34">
        <v>1091927931.2553</v>
      </c>
      <c r="F210" s="42">
        <v>1352998713</v>
      </c>
      <c r="G210">
        <v>328807226</v>
      </c>
      <c r="H210">
        <v>28.51</v>
      </c>
      <c r="I210">
        <v>0</v>
      </c>
      <c r="J210">
        <v>24.3</v>
      </c>
      <c r="K210">
        <v>0</v>
      </c>
    </row>
    <row r="211" spans="1:11" x14ac:dyDescent="0.25">
      <c r="D211">
        <f>SUM(D184:D210)</f>
        <v>100</v>
      </c>
      <c r="K211" s="47">
        <f>SUM(K184:K210)</f>
        <v>40.380000000000003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O1:P1"/>
    <mergeCell ref="M2:M7"/>
    <mergeCell ref="A152:B152"/>
    <mergeCell ref="A182:B182"/>
    <mergeCell ref="A1:B1"/>
    <mergeCell ref="A62:B62"/>
    <mergeCell ref="A92:B92"/>
    <mergeCell ref="A122:B122"/>
    <mergeCell ref="A31:B3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D4FC-3D0B-47BC-B293-8683A30B6782}">
  <dimension ref="A1:R32"/>
  <sheetViews>
    <sheetView view="pageBreakPreview" zoomScale="102" zoomScaleNormal="101" workbookViewId="0">
      <selection sqref="A1:L1"/>
    </sheetView>
  </sheetViews>
  <sheetFormatPr defaultRowHeight="15" x14ac:dyDescent="0.25"/>
  <cols>
    <col min="1" max="1" width="5.140625" style="1" customWidth="1"/>
    <col min="2" max="2" width="24.85546875" bestFit="1" customWidth="1"/>
    <col min="3" max="3" width="28.140625" customWidth="1"/>
    <col min="4" max="4" width="10.140625" style="1" customWidth="1"/>
    <col min="5" max="5" width="8.7109375" style="1"/>
    <col min="6" max="6" width="16.140625" customWidth="1"/>
    <col min="7" max="8" width="16.42578125" customWidth="1"/>
    <col min="9" max="9" width="11.28515625" style="2" customWidth="1"/>
    <col min="10" max="11" width="11.85546875" customWidth="1"/>
    <col min="12" max="12" width="8.7109375" style="2"/>
    <col min="13" max="13" width="3.42578125" customWidth="1"/>
    <col min="16" max="16" width="3.42578125" customWidth="1"/>
    <col min="17" max="18" width="15.28515625" bestFit="1" customWidth="1"/>
  </cols>
  <sheetData>
    <row r="1" spans="1:18" x14ac:dyDescent="0.25">
      <c r="A1" s="59" t="s">
        <v>70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1:18" x14ac:dyDescent="0.25">
      <c r="A2" s="60">
        <f>INPUT!C1</f>
        <v>46178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8" s="2" customFormat="1" ht="15" customHeight="1" x14ac:dyDescent="0.25">
      <c r="A3" s="57" t="s">
        <v>0</v>
      </c>
      <c r="B3" s="57" t="s">
        <v>1</v>
      </c>
      <c r="C3" s="57" t="s">
        <v>2</v>
      </c>
      <c r="D3" s="57" t="s">
        <v>46</v>
      </c>
      <c r="E3" s="57" t="s">
        <v>3</v>
      </c>
      <c r="F3" s="61" t="s">
        <v>51</v>
      </c>
      <c r="G3" s="62"/>
      <c r="H3" s="63" t="s">
        <v>6</v>
      </c>
      <c r="I3" s="57" t="s">
        <v>55</v>
      </c>
      <c r="J3" s="57" t="s">
        <v>52</v>
      </c>
      <c r="K3" s="57"/>
      <c r="L3" s="57" t="s">
        <v>50</v>
      </c>
      <c r="N3" s="58" t="s">
        <v>58</v>
      </c>
      <c r="O3" s="58"/>
      <c r="Q3" s="58" t="s">
        <v>61</v>
      </c>
      <c r="R3" s="58"/>
    </row>
    <row r="4" spans="1:18" s="2" customFormat="1" ht="15" customHeight="1" x14ac:dyDescent="0.25">
      <c r="A4" s="57"/>
      <c r="B4" s="57"/>
      <c r="C4" s="57"/>
      <c r="D4" s="57"/>
      <c r="E4" s="57"/>
      <c r="F4" s="3" t="s">
        <v>47</v>
      </c>
      <c r="G4" s="3" t="s">
        <v>48</v>
      </c>
      <c r="H4" s="64"/>
      <c r="I4" s="57"/>
      <c r="J4" s="3" t="s">
        <v>57</v>
      </c>
      <c r="K4" s="3" t="s">
        <v>49</v>
      </c>
      <c r="L4" s="57"/>
      <c r="N4" s="7" t="s">
        <v>59</v>
      </c>
      <c r="O4" s="7" t="s">
        <v>60</v>
      </c>
      <c r="Q4" s="7" t="s">
        <v>47</v>
      </c>
      <c r="R4" s="7" t="s">
        <v>48</v>
      </c>
    </row>
    <row r="5" spans="1:18" x14ac:dyDescent="0.25">
      <c r="A5" s="55">
        <v>1</v>
      </c>
      <c r="B5" s="56" t="s">
        <v>11</v>
      </c>
      <c r="C5" s="5" t="s">
        <v>12</v>
      </c>
      <c r="D5" s="6" t="s">
        <v>54</v>
      </c>
      <c r="E5" s="4">
        <f>INPUT!D3</f>
        <v>10</v>
      </c>
      <c r="F5" s="9">
        <f>INPUT!F3</f>
        <v>105565098908</v>
      </c>
      <c r="G5" s="15">
        <f>F5*110%</f>
        <v>116121608798.8</v>
      </c>
      <c r="H5" s="9">
        <f>INPUT!G3</f>
        <v>121174958031</v>
      </c>
      <c r="I5" s="13">
        <f>INPUT!J3</f>
        <v>114.79</v>
      </c>
      <c r="J5" s="4">
        <f>INPUT!O3</f>
        <v>11.41</v>
      </c>
      <c r="K5" s="4">
        <f>INPUT!K3</f>
        <v>11.48</v>
      </c>
      <c r="L5" s="13">
        <f>K5-J5</f>
        <v>7.0000000000000284E-2</v>
      </c>
      <c r="N5" s="5"/>
      <c r="O5" s="5"/>
      <c r="Q5" s="15">
        <f>H5-F5</f>
        <v>15609859123</v>
      </c>
      <c r="R5" s="15">
        <f>H5-G5</f>
        <v>5053349232.1999969</v>
      </c>
    </row>
    <row r="6" spans="1:18" x14ac:dyDescent="0.25">
      <c r="A6" s="55"/>
      <c r="B6" s="56"/>
      <c r="C6" s="5" t="s">
        <v>13</v>
      </c>
      <c r="D6" s="4">
        <v>110</v>
      </c>
      <c r="E6" s="4">
        <f>INPUT!D4</f>
        <v>5</v>
      </c>
      <c r="F6" s="9">
        <f>INPUT!F4</f>
        <v>19243924449</v>
      </c>
      <c r="G6" s="15">
        <f t="shared" ref="G6:G14" si="0">F6*110%</f>
        <v>21168316893.900002</v>
      </c>
      <c r="H6" s="9">
        <f>INPUT!G4</f>
        <v>18083084925</v>
      </c>
      <c r="I6" s="13">
        <f>INPUT!J4</f>
        <v>93.97</v>
      </c>
      <c r="J6" s="4">
        <f>INPUT!O4</f>
        <v>4.7</v>
      </c>
      <c r="K6" s="4">
        <f>INPUT!K4</f>
        <v>4.7</v>
      </c>
      <c r="L6" s="13">
        <f t="shared" ref="L6:L31" si="1">K6-J6</f>
        <v>0</v>
      </c>
      <c r="N6" s="5"/>
      <c r="O6" s="5"/>
      <c r="Q6" s="15">
        <f t="shared" ref="Q6:Q30" si="2">H6-F6</f>
        <v>-1160839524</v>
      </c>
      <c r="R6" s="15">
        <f t="shared" ref="R6:R30" si="3">H6-G6</f>
        <v>-3085231968.9000015</v>
      </c>
    </row>
    <row r="7" spans="1:18" x14ac:dyDescent="0.25">
      <c r="A7" s="55"/>
      <c r="B7" s="56"/>
      <c r="C7" s="5" t="s">
        <v>14</v>
      </c>
      <c r="D7" s="6" t="s">
        <v>54</v>
      </c>
      <c r="E7" s="4">
        <f>INPUT!D5</f>
        <v>7.5</v>
      </c>
      <c r="F7" s="9">
        <f>INPUT!F5</f>
        <v>17752748148</v>
      </c>
      <c r="G7" s="15">
        <f t="shared" si="0"/>
        <v>19528022962.800003</v>
      </c>
      <c r="H7" s="9">
        <f>INPUT!G5</f>
        <v>19450849057</v>
      </c>
      <c r="I7" s="13">
        <f>INPUT!J5</f>
        <v>109.57</v>
      </c>
      <c r="J7" s="4">
        <f>INPUT!O5</f>
        <v>8.16</v>
      </c>
      <c r="K7" s="4">
        <f>INPUT!K5</f>
        <v>8.2200000000000006</v>
      </c>
      <c r="L7" s="13">
        <f t="shared" si="1"/>
        <v>6.0000000000000497E-2</v>
      </c>
      <c r="N7" s="5"/>
      <c r="O7" s="5"/>
      <c r="Q7" s="15">
        <f t="shared" si="2"/>
        <v>1698100909</v>
      </c>
      <c r="R7" s="15">
        <f t="shared" si="3"/>
        <v>-77173905.800003052</v>
      </c>
    </row>
    <row r="8" spans="1:18" x14ac:dyDescent="0.25">
      <c r="A8" s="55"/>
      <c r="B8" s="56"/>
      <c r="C8" s="5" t="s">
        <v>15</v>
      </c>
      <c r="D8" s="4">
        <v>110</v>
      </c>
      <c r="E8" s="4">
        <f>INPUT!D6</f>
        <v>5</v>
      </c>
      <c r="F8" s="9">
        <f>INPUT!F6</f>
        <v>147179617614</v>
      </c>
      <c r="G8" s="15">
        <f t="shared" si="0"/>
        <v>161897579375.40002</v>
      </c>
      <c r="H8" s="9">
        <f>INPUT!G6</f>
        <v>165937167123</v>
      </c>
      <c r="I8" s="13">
        <f>INPUT!J6</f>
        <v>110</v>
      </c>
      <c r="J8" s="4">
        <f>INPUT!O6</f>
        <v>5.5</v>
      </c>
      <c r="K8" s="4">
        <f>INPUT!K6</f>
        <v>5.5</v>
      </c>
      <c r="L8" s="13">
        <f t="shared" si="1"/>
        <v>0</v>
      </c>
      <c r="N8" s="5"/>
      <c r="O8" s="5"/>
      <c r="Q8" s="15">
        <f t="shared" si="2"/>
        <v>18757549509</v>
      </c>
      <c r="R8" s="15">
        <f t="shared" si="3"/>
        <v>4039587747.5999756</v>
      </c>
    </row>
    <row r="9" spans="1:18" x14ac:dyDescent="0.25">
      <c r="A9" s="4">
        <v>2</v>
      </c>
      <c r="B9" s="5" t="s">
        <v>16</v>
      </c>
      <c r="C9" s="5" t="s">
        <v>16</v>
      </c>
      <c r="D9" s="4">
        <v>110</v>
      </c>
      <c r="E9" s="4">
        <f>INPUT!D7</f>
        <v>10</v>
      </c>
      <c r="F9" s="9">
        <f>INPUT!F7</f>
        <v>21028689608</v>
      </c>
      <c r="G9" s="15">
        <f t="shared" si="0"/>
        <v>23131558568.800003</v>
      </c>
      <c r="H9" s="9">
        <f>INPUT!G7</f>
        <v>9123839048.9314995</v>
      </c>
      <c r="I9" s="13">
        <f>INPUT!J7</f>
        <v>43.39</v>
      </c>
      <c r="J9" s="4">
        <f>INPUT!O7</f>
        <v>4.34</v>
      </c>
      <c r="K9" s="4">
        <f>INPUT!K7</f>
        <v>4.34</v>
      </c>
      <c r="L9" s="13">
        <f t="shared" si="1"/>
        <v>0</v>
      </c>
      <c r="N9" s="5"/>
      <c r="O9" s="5"/>
      <c r="Q9" s="15">
        <f t="shared" si="2"/>
        <v>-11904850559.068501</v>
      </c>
      <c r="R9" s="15">
        <f t="shared" si="3"/>
        <v>-14007719519.868504</v>
      </c>
    </row>
    <row r="10" spans="1:18" x14ac:dyDescent="0.25">
      <c r="A10" s="4">
        <v>3</v>
      </c>
      <c r="B10" s="5" t="s">
        <v>17</v>
      </c>
      <c r="C10" s="20" t="s">
        <v>17</v>
      </c>
      <c r="D10" s="4">
        <v>110</v>
      </c>
      <c r="E10" s="4"/>
      <c r="F10" s="9">
        <f>INPUT!F8</f>
        <v>0</v>
      </c>
      <c r="G10" s="15">
        <f t="shared" si="0"/>
        <v>0</v>
      </c>
      <c r="H10" s="5">
        <f>INPUT!G8</f>
        <v>20.059999999999999</v>
      </c>
      <c r="I10" s="13">
        <f>INPUT!J8</f>
        <v>0</v>
      </c>
      <c r="J10" s="4">
        <f>INPUT!O8</f>
        <v>0</v>
      </c>
      <c r="K10" s="4">
        <f>INPUT!K8</f>
        <v>0</v>
      </c>
      <c r="L10" s="13">
        <f t="shared" si="1"/>
        <v>0</v>
      </c>
      <c r="N10" s="5"/>
      <c r="O10" s="5"/>
      <c r="Q10" s="15">
        <f t="shared" si="2"/>
        <v>20.059999999999999</v>
      </c>
      <c r="R10" s="15">
        <f t="shared" si="3"/>
        <v>20.059999999999999</v>
      </c>
    </row>
    <row r="11" spans="1:18" x14ac:dyDescent="0.25">
      <c r="A11" s="55">
        <v>4</v>
      </c>
      <c r="B11" s="56" t="s">
        <v>18</v>
      </c>
      <c r="C11" s="5" t="s">
        <v>19</v>
      </c>
      <c r="D11" s="4">
        <v>110</v>
      </c>
      <c r="E11" s="4">
        <f>INPUT!D9</f>
        <v>5</v>
      </c>
      <c r="F11" s="9">
        <f>INPUT!F9</f>
        <v>8990</v>
      </c>
      <c r="G11" s="15">
        <f t="shared" si="0"/>
        <v>9889</v>
      </c>
      <c r="H11" s="12">
        <f>INPUT!G9</f>
        <v>4345</v>
      </c>
      <c r="I11" s="13">
        <f>INPUT!J9</f>
        <v>48.33</v>
      </c>
      <c r="J11" s="4">
        <f>INPUT!O9</f>
        <v>2.0699999999999998</v>
      </c>
      <c r="K11" s="4">
        <f>INPUT!K9</f>
        <v>2.42</v>
      </c>
      <c r="L11" s="13">
        <f t="shared" si="1"/>
        <v>0.35000000000000009</v>
      </c>
      <c r="N11" s="5"/>
      <c r="O11" s="5"/>
      <c r="Q11" s="15">
        <f t="shared" si="2"/>
        <v>-4645</v>
      </c>
      <c r="R11" s="15">
        <f t="shared" si="3"/>
        <v>-5544</v>
      </c>
    </row>
    <row r="12" spans="1:18" x14ac:dyDescent="0.25">
      <c r="A12" s="55"/>
      <c r="B12" s="56"/>
      <c r="C12" s="5" t="s">
        <v>20</v>
      </c>
      <c r="D12" s="4">
        <v>110</v>
      </c>
      <c r="E12" s="4">
        <f>INPUT!D10</f>
        <v>2.5</v>
      </c>
      <c r="F12" s="9">
        <f>INPUT!F10</f>
        <v>400</v>
      </c>
      <c r="G12" s="15">
        <f t="shared" si="0"/>
        <v>440.00000000000006</v>
      </c>
      <c r="H12" s="12">
        <f>INPUT!G10</f>
        <v>351</v>
      </c>
      <c r="I12" s="13">
        <f>INPUT!J10</f>
        <v>87.75</v>
      </c>
      <c r="J12" s="4">
        <f>INPUT!O10</f>
        <v>1.85</v>
      </c>
      <c r="K12" s="4">
        <f>INPUT!K10</f>
        <v>2.19</v>
      </c>
      <c r="L12" s="13">
        <f t="shared" si="1"/>
        <v>0.33999999999999986</v>
      </c>
      <c r="N12" s="5"/>
      <c r="O12" s="5"/>
      <c r="Q12" s="15">
        <f t="shared" si="2"/>
        <v>-49</v>
      </c>
      <c r="R12" s="15">
        <f t="shared" si="3"/>
        <v>-89.000000000000057</v>
      </c>
    </row>
    <row r="13" spans="1:18" x14ac:dyDescent="0.25">
      <c r="A13" s="55"/>
      <c r="B13" s="56"/>
      <c r="C13" s="5" t="s">
        <v>21</v>
      </c>
      <c r="D13" s="4">
        <v>110</v>
      </c>
      <c r="E13" s="4">
        <f>INPUT!D11</f>
        <v>5</v>
      </c>
      <c r="F13" s="9">
        <f>INPUT!F11</f>
        <v>27491</v>
      </c>
      <c r="G13" s="15">
        <f t="shared" si="0"/>
        <v>30240.100000000002</v>
      </c>
      <c r="H13" s="12">
        <f>INPUT!G11</f>
        <v>18503</v>
      </c>
      <c r="I13" s="13">
        <f>INPUT!J11</f>
        <v>67.31</v>
      </c>
      <c r="J13" s="4">
        <f>INPUT!O11</f>
        <v>3.22</v>
      </c>
      <c r="K13" s="4">
        <f>INPUT!K11</f>
        <v>3.37</v>
      </c>
      <c r="L13" s="13">
        <f t="shared" si="1"/>
        <v>0.14999999999999991</v>
      </c>
      <c r="N13" s="5"/>
      <c r="O13" s="5"/>
      <c r="Q13" s="15">
        <f t="shared" si="2"/>
        <v>-8988</v>
      </c>
      <c r="R13" s="15">
        <f t="shared" si="3"/>
        <v>-11737.100000000002</v>
      </c>
    </row>
    <row r="14" spans="1:18" x14ac:dyDescent="0.25">
      <c r="A14" s="55"/>
      <c r="B14" s="56"/>
      <c r="C14" s="5" t="s">
        <v>22</v>
      </c>
      <c r="D14" s="4">
        <v>110</v>
      </c>
      <c r="E14" s="4">
        <f>INPUT!D12</f>
        <v>5</v>
      </c>
      <c r="F14" s="9">
        <f>INPUT!F12</f>
        <v>2877</v>
      </c>
      <c r="G14" s="15">
        <f t="shared" si="0"/>
        <v>3164.7000000000003</v>
      </c>
      <c r="H14" s="12">
        <f>INPUT!G12</f>
        <v>2710</v>
      </c>
      <c r="I14" s="13">
        <f>INPUT!J12</f>
        <v>94.2</v>
      </c>
      <c r="J14" s="4">
        <f>INPUT!O12</f>
        <v>4.68</v>
      </c>
      <c r="K14" s="4">
        <f>INPUT!K12</f>
        <v>4.71</v>
      </c>
      <c r="L14" s="13">
        <f t="shared" si="1"/>
        <v>3.0000000000000249E-2</v>
      </c>
      <c r="N14" s="5"/>
      <c r="O14" s="5"/>
      <c r="Q14" s="15">
        <f t="shared" si="2"/>
        <v>-167</v>
      </c>
      <c r="R14" s="15">
        <f t="shared" si="3"/>
        <v>-454.70000000000027</v>
      </c>
    </row>
    <row r="15" spans="1:18" x14ac:dyDescent="0.25">
      <c r="A15" s="55">
        <v>5</v>
      </c>
      <c r="B15" s="56" t="s">
        <v>23</v>
      </c>
      <c r="C15" s="5" t="s">
        <v>24</v>
      </c>
      <c r="D15" s="4">
        <v>110</v>
      </c>
      <c r="E15" s="4">
        <f>INPUT!D13</f>
        <v>3</v>
      </c>
      <c r="F15" s="27">
        <f>INPUT!F13</f>
        <v>0.31</v>
      </c>
      <c r="G15" s="10">
        <f>F15-(F15*10%)</f>
        <v>0.27900000000000003</v>
      </c>
      <c r="H15" s="5">
        <f>INPUT!G13</f>
        <v>0.09</v>
      </c>
      <c r="I15" s="13">
        <f>INPUT!J13</f>
        <v>110</v>
      </c>
      <c r="J15" s="4">
        <f>INPUT!O13</f>
        <v>3.3</v>
      </c>
      <c r="K15" s="4">
        <f>INPUT!K13</f>
        <v>3.3</v>
      </c>
      <c r="L15" s="13">
        <f t="shared" si="1"/>
        <v>0</v>
      </c>
      <c r="N15" s="5"/>
      <c r="O15" s="5"/>
      <c r="Q15" s="24">
        <f>F15-H15</f>
        <v>0.22</v>
      </c>
      <c r="R15" s="24">
        <f>G15-H15</f>
        <v>0.18900000000000003</v>
      </c>
    </row>
    <row r="16" spans="1:18" x14ac:dyDescent="0.25">
      <c r="A16" s="55"/>
      <c r="B16" s="56"/>
      <c r="C16" s="5" t="s">
        <v>25</v>
      </c>
      <c r="D16" s="4">
        <v>110</v>
      </c>
      <c r="E16" s="4">
        <f>INPUT!D14</f>
        <v>2</v>
      </c>
      <c r="F16" s="27">
        <f>INPUT!F14</f>
        <v>3.06</v>
      </c>
      <c r="G16" s="10">
        <f t="shared" ref="G16:G20" si="4">F16-(F16*10%)</f>
        <v>2.754</v>
      </c>
      <c r="H16" s="10">
        <f>INPUT!G14</f>
        <v>2.2599999999999998</v>
      </c>
      <c r="I16" s="13">
        <f>INPUT!J14</f>
        <v>110</v>
      </c>
      <c r="J16" s="4">
        <f>INPUT!O14</f>
        <v>1.75</v>
      </c>
      <c r="K16" s="4">
        <f>INPUT!K14</f>
        <v>2.2000000000000002</v>
      </c>
      <c r="L16" s="13">
        <f t="shared" si="1"/>
        <v>0.45000000000000018</v>
      </c>
      <c r="N16" s="5"/>
      <c r="O16" s="5"/>
      <c r="Q16" s="24">
        <f t="shared" ref="Q16:Q20" si="5">F16-H16</f>
        <v>0.80000000000000027</v>
      </c>
      <c r="R16" s="24">
        <f t="shared" ref="R16:R19" si="6">G16-H16</f>
        <v>0.49400000000000022</v>
      </c>
    </row>
    <row r="17" spans="1:18" x14ac:dyDescent="0.25">
      <c r="A17" s="55"/>
      <c r="B17" s="56"/>
      <c r="C17" s="5" t="s">
        <v>26</v>
      </c>
      <c r="D17" s="4">
        <v>110</v>
      </c>
      <c r="E17" s="4">
        <f>INPUT!D15</f>
        <v>2.5</v>
      </c>
      <c r="F17" s="27">
        <f>INPUT!F15</f>
        <v>0.87</v>
      </c>
      <c r="G17" s="10">
        <f t="shared" si="4"/>
        <v>0.78300000000000003</v>
      </c>
      <c r="H17" s="5">
        <f>INPUT!G15</f>
        <v>0.16</v>
      </c>
      <c r="I17" s="13">
        <f>INPUT!J15</f>
        <v>110</v>
      </c>
      <c r="J17" s="4">
        <f>INPUT!O15</f>
        <v>2.75</v>
      </c>
      <c r="K17" s="4">
        <f>INPUT!K15</f>
        <v>2.75</v>
      </c>
      <c r="L17" s="13">
        <f t="shared" si="1"/>
        <v>0</v>
      </c>
      <c r="N17" s="5"/>
      <c r="O17" s="5"/>
      <c r="Q17" s="24">
        <f t="shared" si="5"/>
        <v>0.71</v>
      </c>
      <c r="R17" s="24">
        <f t="shared" si="6"/>
        <v>0.623</v>
      </c>
    </row>
    <row r="18" spans="1:18" x14ac:dyDescent="0.25">
      <c r="A18" s="55"/>
      <c r="B18" s="56"/>
      <c r="C18" s="5" t="s">
        <v>27</v>
      </c>
      <c r="D18" s="4">
        <v>110</v>
      </c>
      <c r="E18" s="4">
        <f>INPUT!D16</f>
        <v>3</v>
      </c>
      <c r="F18" s="27">
        <f>INPUT!F16</f>
        <v>2.75</v>
      </c>
      <c r="G18" s="10">
        <f t="shared" si="4"/>
        <v>2.4750000000000001</v>
      </c>
      <c r="H18" s="5">
        <f>INPUT!G16</f>
        <v>6.52</v>
      </c>
      <c r="I18" s="13">
        <f>INPUT!J16</f>
        <v>85.89</v>
      </c>
      <c r="J18" s="4">
        <f>INPUT!O16</f>
        <v>2.65</v>
      </c>
      <c r="K18" s="4">
        <f>INPUT!K16</f>
        <v>2.58</v>
      </c>
      <c r="L18" s="13">
        <f t="shared" si="1"/>
        <v>-6.999999999999984E-2</v>
      </c>
      <c r="N18" s="5"/>
      <c r="O18" s="5"/>
      <c r="Q18" s="24">
        <f t="shared" si="5"/>
        <v>-3.7699999999999996</v>
      </c>
      <c r="R18" s="24">
        <f t="shared" si="6"/>
        <v>-4.0449999999999999</v>
      </c>
    </row>
    <row r="19" spans="1:18" x14ac:dyDescent="0.25">
      <c r="A19" s="55"/>
      <c r="B19" s="56"/>
      <c r="C19" s="5" t="s">
        <v>28</v>
      </c>
      <c r="D19" s="4">
        <v>110</v>
      </c>
      <c r="E19" s="4">
        <f>INPUT!D17</f>
        <v>2</v>
      </c>
      <c r="F19" s="27">
        <f>INPUT!F17</f>
        <v>14.59</v>
      </c>
      <c r="G19" s="10">
        <f t="shared" si="4"/>
        <v>13.131</v>
      </c>
      <c r="H19" s="5">
        <f>INPUT!G17</f>
        <v>12.77</v>
      </c>
      <c r="I19" s="13">
        <f>INPUT!J17</f>
        <v>110</v>
      </c>
      <c r="J19" s="4">
        <f>INPUT!O17</f>
        <v>1.41</v>
      </c>
      <c r="K19" s="4">
        <f>INPUT!K17</f>
        <v>2.2000000000000002</v>
      </c>
      <c r="L19" s="13">
        <f t="shared" si="1"/>
        <v>0.79000000000000026</v>
      </c>
      <c r="N19" s="5"/>
      <c r="O19" s="5"/>
      <c r="Q19" s="24">
        <f t="shared" si="5"/>
        <v>1.8200000000000003</v>
      </c>
      <c r="R19" s="24">
        <f t="shared" si="6"/>
        <v>0.36100000000000065</v>
      </c>
    </row>
    <row r="20" spans="1:18" x14ac:dyDescent="0.25">
      <c r="A20" s="55"/>
      <c r="B20" s="56"/>
      <c r="C20" s="5" t="s">
        <v>29</v>
      </c>
      <c r="D20" s="4">
        <v>110</v>
      </c>
      <c r="E20" s="4">
        <f>INPUT!D18</f>
        <v>2.5</v>
      </c>
      <c r="F20" s="27">
        <f>INPUT!F18</f>
        <v>11.04</v>
      </c>
      <c r="G20" s="10">
        <f t="shared" si="4"/>
        <v>9.9359999999999999</v>
      </c>
      <c r="H20" s="5">
        <f>INPUT!G18</f>
        <v>7.09</v>
      </c>
      <c r="I20" s="13">
        <f>INPUT!J18</f>
        <v>110</v>
      </c>
      <c r="J20" s="4">
        <f>INPUT!O18</f>
        <v>2.75</v>
      </c>
      <c r="K20" s="4">
        <f>INPUT!K18</f>
        <v>2.75</v>
      </c>
      <c r="L20" s="13">
        <f t="shared" si="1"/>
        <v>0</v>
      </c>
      <c r="N20" s="5"/>
      <c r="O20" s="5"/>
      <c r="Q20" s="24">
        <f t="shared" si="5"/>
        <v>3.9499999999999993</v>
      </c>
      <c r="R20" s="24">
        <f>G20-H20</f>
        <v>2.8460000000000001</v>
      </c>
    </row>
    <row r="21" spans="1:18" x14ac:dyDescent="0.25">
      <c r="A21" s="4">
        <v>6</v>
      </c>
      <c r="B21" s="5" t="s">
        <v>30</v>
      </c>
      <c r="C21" s="20" t="s">
        <v>31</v>
      </c>
      <c r="D21" s="4">
        <v>110</v>
      </c>
      <c r="E21" s="4"/>
      <c r="F21" s="9">
        <f>INPUT!F19</f>
        <v>0</v>
      </c>
      <c r="G21" s="5"/>
      <c r="H21" s="5">
        <f>INPUT!G19</f>
        <v>0</v>
      </c>
      <c r="I21" s="13">
        <f>INPUT!J19</f>
        <v>0</v>
      </c>
      <c r="J21" s="4">
        <f>INPUT!O19</f>
        <v>0</v>
      </c>
      <c r="K21" s="4">
        <f>INPUT!K19</f>
        <v>0</v>
      </c>
      <c r="L21" s="13">
        <f t="shared" si="1"/>
        <v>0</v>
      </c>
      <c r="N21" s="5"/>
      <c r="O21" s="5"/>
      <c r="Q21" s="15">
        <f t="shared" si="2"/>
        <v>0</v>
      </c>
      <c r="R21" s="15">
        <f t="shared" si="3"/>
        <v>0</v>
      </c>
    </row>
    <row r="22" spans="1:18" x14ac:dyDescent="0.25">
      <c r="A22" s="55">
        <v>7</v>
      </c>
      <c r="B22" s="56" t="s">
        <v>32</v>
      </c>
      <c r="C22" s="26" t="s">
        <v>33</v>
      </c>
      <c r="D22" s="6" t="s">
        <v>54</v>
      </c>
      <c r="E22" s="4">
        <f>INPUT!D20</f>
        <v>2.5</v>
      </c>
      <c r="F22" s="9">
        <f>INPUT!F20</f>
        <v>6312</v>
      </c>
      <c r="G22" s="12">
        <f>F22*110%</f>
        <v>6943.2000000000007</v>
      </c>
      <c r="H22" s="12">
        <f>INPUT!G20</f>
        <v>3493</v>
      </c>
      <c r="I22" s="13">
        <f>INPUT!J20</f>
        <v>55.34</v>
      </c>
      <c r="J22" s="4">
        <f>INPUT!O20</f>
        <v>1.37</v>
      </c>
      <c r="K22" s="4">
        <f>INPUT!K20</f>
        <v>1.38</v>
      </c>
      <c r="L22" s="13">
        <f t="shared" si="1"/>
        <v>9.9999999999997868E-3</v>
      </c>
      <c r="N22" s="5"/>
      <c r="O22" s="5"/>
      <c r="Q22" s="15">
        <f t="shared" si="2"/>
        <v>-2819</v>
      </c>
      <c r="R22" s="15">
        <f t="shared" si="3"/>
        <v>-3450.2000000000007</v>
      </c>
    </row>
    <row r="23" spans="1:18" x14ac:dyDescent="0.25">
      <c r="A23" s="55"/>
      <c r="B23" s="56"/>
      <c r="C23" s="5" t="s">
        <v>34</v>
      </c>
      <c r="D23" s="4">
        <v>110</v>
      </c>
      <c r="E23" s="4">
        <f>INPUT!D21</f>
        <v>2.5</v>
      </c>
      <c r="F23" s="9">
        <f>INPUT!F21</f>
        <v>27153</v>
      </c>
      <c r="G23" s="12">
        <f>F23*110%</f>
        <v>29868.300000000003</v>
      </c>
      <c r="H23" s="12">
        <f>INPUT!G21</f>
        <v>24585.093400000002</v>
      </c>
      <c r="I23" s="13">
        <f>INPUT!J21</f>
        <v>90.54</v>
      </c>
      <c r="J23" s="4">
        <f>INPUT!O21</f>
        <v>2.25</v>
      </c>
      <c r="K23" s="4">
        <f>INPUT!K21</f>
        <v>2.2599999999999998</v>
      </c>
      <c r="L23" s="13">
        <f t="shared" si="1"/>
        <v>9.9999999999997868E-3</v>
      </c>
      <c r="N23" s="5"/>
      <c r="O23" s="5"/>
      <c r="Q23" s="15">
        <f t="shared" si="2"/>
        <v>-2567.9065999999984</v>
      </c>
      <c r="R23" s="15">
        <f t="shared" si="3"/>
        <v>-5283.2066000000013</v>
      </c>
    </row>
    <row r="24" spans="1:18" x14ac:dyDescent="0.25">
      <c r="A24" s="55"/>
      <c r="B24" s="56"/>
      <c r="C24" s="5" t="s">
        <v>35</v>
      </c>
      <c r="D24" s="4">
        <v>110</v>
      </c>
      <c r="E24" s="4">
        <f>INPUT!D22</f>
        <v>5</v>
      </c>
      <c r="F24" s="9">
        <f>INPUT!F22</f>
        <v>10944</v>
      </c>
      <c r="G24" s="12">
        <f t="shared" ref="G24:G30" si="7">F24*110%</f>
        <v>12038.400000000001</v>
      </c>
      <c r="H24" s="12">
        <f>INPUT!G22</f>
        <v>5735</v>
      </c>
      <c r="I24" s="13">
        <f>INPUT!J22</f>
        <v>52.4</v>
      </c>
      <c r="J24" s="4">
        <f>INPUT!O22</f>
        <v>2.5</v>
      </c>
      <c r="K24" s="4">
        <f>INPUT!K22</f>
        <v>2.62</v>
      </c>
      <c r="L24" s="13">
        <f t="shared" si="1"/>
        <v>0.12000000000000011</v>
      </c>
      <c r="N24" s="5"/>
      <c r="O24" s="5"/>
      <c r="Q24" s="15">
        <f t="shared" si="2"/>
        <v>-5209</v>
      </c>
      <c r="R24" s="15">
        <f>H24-G24</f>
        <v>-6303.4000000000015</v>
      </c>
    </row>
    <row r="25" spans="1:18" x14ac:dyDescent="0.25">
      <c r="A25" s="55">
        <v>8</v>
      </c>
      <c r="B25" s="56" t="s">
        <v>36</v>
      </c>
      <c r="C25" s="5" t="s">
        <v>37</v>
      </c>
      <c r="D25" s="4">
        <v>110</v>
      </c>
      <c r="E25" s="4">
        <f>INPUT!D23</f>
        <v>5</v>
      </c>
      <c r="F25" s="9">
        <f>INPUT!F23</f>
        <v>8978</v>
      </c>
      <c r="G25" s="12">
        <f t="shared" si="7"/>
        <v>9875.8000000000011</v>
      </c>
      <c r="H25" s="5">
        <f>INPUT!G23</f>
        <v>7020</v>
      </c>
      <c r="I25" s="13">
        <f>INPUT!J23</f>
        <v>78.19</v>
      </c>
      <c r="J25" s="4">
        <f>INPUT!O23</f>
        <v>3.71</v>
      </c>
      <c r="K25" s="4">
        <f>INPUT!K23</f>
        <v>3.91</v>
      </c>
      <c r="L25" s="13">
        <f t="shared" si="1"/>
        <v>0.20000000000000018</v>
      </c>
      <c r="N25" s="5"/>
      <c r="O25" s="5"/>
      <c r="Q25" s="15">
        <f t="shared" si="2"/>
        <v>-1958</v>
      </c>
      <c r="R25" s="15">
        <f t="shared" si="3"/>
        <v>-2855.8000000000011</v>
      </c>
    </row>
    <row r="26" spans="1:18" x14ac:dyDescent="0.25">
      <c r="A26" s="55"/>
      <c r="B26" s="56"/>
      <c r="C26" s="5" t="s">
        <v>38</v>
      </c>
      <c r="D26" s="4">
        <v>110</v>
      </c>
      <c r="E26" s="4">
        <f>INPUT!D24</f>
        <v>5</v>
      </c>
      <c r="F26" s="9">
        <f>INPUT!F24</f>
        <v>5988096541</v>
      </c>
      <c r="G26" s="9">
        <f t="shared" si="7"/>
        <v>6586906195.1000004</v>
      </c>
      <c r="H26" s="9">
        <f>INPUT!G24</f>
        <v>4732746985</v>
      </c>
      <c r="I26" s="13">
        <f>INPUT!J24</f>
        <v>79.040000000000006</v>
      </c>
      <c r="J26" s="4">
        <f>INPUT!O24</f>
        <v>4.05</v>
      </c>
      <c r="K26" s="4">
        <f>INPUT!K24</f>
        <v>3.95</v>
      </c>
      <c r="L26" s="13">
        <f t="shared" si="1"/>
        <v>-9.9999999999999645E-2</v>
      </c>
      <c r="N26" s="5"/>
      <c r="O26" s="5"/>
      <c r="Q26" s="15">
        <f t="shared" si="2"/>
        <v>-1255349556</v>
      </c>
      <c r="R26" s="15">
        <f t="shared" si="3"/>
        <v>-1854159210.1000004</v>
      </c>
    </row>
    <row r="27" spans="1:18" x14ac:dyDescent="0.25">
      <c r="A27" s="55"/>
      <c r="B27" s="56"/>
      <c r="C27" s="5" t="s">
        <v>39</v>
      </c>
      <c r="D27" s="4">
        <v>110</v>
      </c>
      <c r="E27" s="4">
        <f>INPUT!D25</f>
        <v>5</v>
      </c>
      <c r="F27" s="9">
        <f>INPUT!F25</f>
        <v>94702</v>
      </c>
      <c r="G27" s="11">
        <f t="shared" si="7"/>
        <v>104172.20000000001</v>
      </c>
      <c r="H27" s="12">
        <f>INPUT!G25</f>
        <v>33934</v>
      </c>
      <c r="I27" s="13">
        <f>INPUT!J25</f>
        <v>35.83</v>
      </c>
      <c r="J27" s="4">
        <f>INPUT!O25</f>
        <v>1.64</v>
      </c>
      <c r="K27" s="4">
        <f>INPUT!K25</f>
        <v>1.79</v>
      </c>
      <c r="L27" s="13">
        <f t="shared" si="1"/>
        <v>0.15000000000000013</v>
      </c>
      <c r="N27" s="5"/>
      <c r="O27" s="5"/>
      <c r="Q27" s="15">
        <f t="shared" si="2"/>
        <v>-60768</v>
      </c>
      <c r="R27" s="15">
        <f t="shared" si="3"/>
        <v>-70238.200000000012</v>
      </c>
    </row>
    <row r="28" spans="1:18" x14ac:dyDescent="0.25">
      <c r="A28" s="55">
        <v>9</v>
      </c>
      <c r="B28" s="56" t="s">
        <v>40</v>
      </c>
      <c r="C28" s="26" t="s">
        <v>41</v>
      </c>
      <c r="D28" s="4">
        <v>110</v>
      </c>
      <c r="E28" s="4">
        <f>INPUT!D26</f>
        <v>2</v>
      </c>
      <c r="F28" s="9">
        <f>INPUT!F26</f>
        <v>78.760000000000005</v>
      </c>
      <c r="G28" s="11">
        <f t="shared" si="7"/>
        <v>86.63600000000001</v>
      </c>
      <c r="H28" s="5">
        <f>INPUT!G26</f>
        <v>77.94</v>
      </c>
      <c r="I28" s="13">
        <f>INPUT!J26</f>
        <v>98.96</v>
      </c>
      <c r="J28" s="4">
        <f>INPUT!O26</f>
        <v>1.98</v>
      </c>
      <c r="K28" s="4">
        <f>INPUT!K26</f>
        <v>1.98</v>
      </c>
      <c r="L28" s="13">
        <f t="shared" si="1"/>
        <v>0</v>
      </c>
      <c r="N28" s="5"/>
      <c r="O28" s="5"/>
      <c r="Q28" s="15">
        <f t="shared" si="2"/>
        <v>-0.82000000000000739</v>
      </c>
      <c r="R28" s="15">
        <f t="shared" si="3"/>
        <v>-8.6960000000000122</v>
      </c>
    </row>
    <row r="29" spans="1:18" x14ac:dyDescent="0.25">
      <c r="A29" s="55"/>
      <c r="B29" s="56"/>
      <c r="C29" s="5" t="s">
        <v>42</v>
      </c>
      <c r="D29" s="4">
        <v>110</v>
      </c>
      <c r="E29" s="4">
        <f>INPUT!D27</f>
        <v>1.5</v>
      </c>
      <c r="F29" s="9">
        <f>INPUT!F27</f>
        <v>830889743</v>
      </c>
      <c r="G29" s="9">
        <f t="shared" si="7"/>
        <v>913978717.30000007</v>
      </c>
      <c r="H29" s="9">
        <f>INPUT!G27</f>
        <v>1411178440</v>
      </c>
      <c r="I29" s="13">
        <f>INPUT!J27</f>
        <v>110</v>
      </c>
      <c r="J29" s="4">
        <f>INPUT!O27</f>
        <v>1.65</v>
      </c>
      <c r="K29" s="4">
        <f>INPUT!K27</f>
        <v>1.65</v>
      </c>
      <c r="L29" s="13">
        <f t="shared" si="1"/>
        <v>0</v>
      </c>
      <c r="N29" s="5"/>
      <c r="O29" s="5"/>
      <c r="Q29" s="15">
        <f t="shared" si="2"/>
        <v>580288697</v>
      </c>
      <c r="R29" s="15">
        <f t="shared" si="3"/>
        <v>497199722.69999993</v>
      </c>
    </row>
    <row r="30" spans="1:18" x14ac:dyDescent="0.25">
      <c r="A30" s="55"/>
      <c r="B30" s="56"/>
      <c r="C30" s="5" t="s">
        <v>43</v>
      </c>
      <c r="D30" s="4">
        <v>110</v>
      </c>
      <c r="E30" s="4">
        <f>INPUT!D28</f>
        <v>1.5</v>
      </c>
      <c r="F30" s="9">
        <f>INPUT!F28</f>
        <v>3711</v>
      </c>
      <c r="G30" s="12">
        <f t="shared" si="7"/>
        <v>4082.1000000000004</v>
      </c>
      <c r="H30" s="16">
        <f>INPUT!G28</f>
        <v>2044.4244000000001</v>
      </c>
      <c r="I30" s="13">
        <f>INPUT!J28</f>
        <v>55.09</v>
      </c>
      <c r="J30" s="4">
        <f>INPUT!O28</f>
        <v>0.81</v>
      </c>
      <c r="K30" s="4">
        <f>INPUT!K28</f>
        <v>0.83</v>
      </c>
      <c r="L30" s="13">
        <f t="shared" si="1"/>
        <v>1.9999999999999907E-2</v>
      </c>
      <c r="N30" s="5"/>
      <c r="O30" s="5"/>
      <c r="Q30" s="15">
        <f t="shared" si="2"/>
        <v>-1666.5755999999999</v>
      </c>
      <c r="R30" s="15">
        <f t="shared" si="3"/>
        <v>-2037.6756000000003</v>
      </c>
    </row>
    <row r="31" spans="1:18" x14ac:dyDescent="0.25">
      <c r="A31" s="4">
        <v>10</v>
      </c>
      <c r="B31" s="5" t="s">
        <v>44</v>
      </c>
      <c r="C31" s="5" t="s">
        <v>44</v>
      </c>
      <c r="D31" s="4"/>
      <c r="E31" s="4"/>
      <c r="F31" s="9">
        <f>INPUT!F29</f>
        <v>17670748427</v>
      </c>
      <c r="G31" s="5"/>
      <c r="H31" s="9">
        <f>INPUT!G29</f>
        <v>16474128527</v>
      </c>
      <c r="I31" s="13">
        <f>INPUT!J29</f>
        <v>93.23</v>
      </c>
      <c r="J31" s="4">
        <f>INPUT!O29</f>
        <v>0</v>
      </c>
      <c r="K31" s="4">
        <f>INPUT!K29</f>
        <v>0</v>
      </c>
      <c r="L31" s="13">
        <f t="shared" si="1"/>
        <v>0</v>
      </c>
      <c r="N31" s="5"/>
      <c r="O31" s="5"/>
      <c r="Q31" s="15"/>
      <c r="R31" s="15"/>
    </row>
    <row r="32" spans="1:18" x14ac:dyDescent="0.25">
      <c r="A32" s="58" t="s">
        <v>53</v>
      </c>
      <c r="B32" s="58"/>
      <c r="C32" s="8"/>
      <c r="D32" s="7"/>
      <c r="E32" s="7">
        <f>SUM(E5:E31)</f>
        <v>100</v>
      </c>
      <c r="F32" s="8"/>
      <c r="G32" s="8"/>
      <c r="H32" s="8"/>
      <c r="I32" s="21"/>
      <c r="J32" s="7">
        <f>SUM(J5:J31)</f>
        <v>80.5</v>
      </c>
      <c r="K32" s="7">
        <f>SUM(K5:K31)</f>
        <v>83.080000000000013</v>
      </c>
      <c r="L32" s="23">
        <f>SUM(L5:L31)</f>
        <v>2.5800000000000023</v>
      </c>
      <c r="N32" s="14"/>
      <c r="O32" s="14"/>
      <c r="Q32" s="5"/>
      <c r="R32" s="5"/>
    </row>
  </sheetData>
  <sheetProtection sheet="1" objects="1" scenarios="1"/>
  <mergeCells count="27">
    <mergeCell ref="Q3:R3"/>
    <mergeCell ref="N3:O3"/>
    <mergeCell ref="A28:A30"/>
    <mergeCell ref="A32:B32"/>
    <mergeCell ref="A1:L1"/>
    <mergeCell ref="A2:L2"/>
    <mergeCell ref="F3:G3"/>
    <mergeCell ref="H3:H4"/>
    <mergeCell ref="I3:I4"/>
    <mergeCell ref="J3:K3"/>
    <mergeCell ref="L3:L4"/>
    <mergeCell ref="A5:A8"/>
    <mergeCell ref="B28:B30"/>
    <mergeCell ref="A3:A4"/>
    <mergeCell ref="B3:B4"/>
    <mergeCell ref="C3:C4"/>
    <mergeCell ref="D3:D4"/>
    <mergeCell ref="E3:E4"/>
    <mergeCell ref="A11:A14"/>
    <mergeCell ref="A15:A20"/>
    <mergeCell ref="A22:A24"/>
    <mergeCell ref="A25:A27"/>
    <mergeCell ref="B5:B8"/>
    <mergeCell ref="B11:B14"/>
    <mergeCell ref="B15:B20"/>
    <mergeCell ref="B22:B24"/>
    <mergeCell ref="B25:B27"/>
  </mergeCells>
  <conditionalFormatting sqref="I5:I31">
    <cfRule type="cellIs" dxfId="48" priority="2" operator="lessThan">
      <formula>100</formula>
    </cfRule>
    <cfRule type="cellIs" dxfId="47" priority="3" operator="greaterThan">
      <formula>100</formula>
    </cfRule>
  </conditionalFormatting>
  <conditionalFormatting sqref="L5:L32">
    <cfRule type="cellIs" dxfId="46" priority="6" operator="greaterThan">
      <formula>0</formula>
    </cfRule>
    <cfRule type="cellIs" dxfId="45" priority="7" operator="lessThan">
      <formula>0</formula>
    </cfRule>
  </conditionalFormatting>
  <conditionalFormatting sqref="M5:M32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Q5:R30">
    <cfRule type="cellIs" dxfId="44" priority="4" operator="lessThan">
      <formula>0</formula>
    </cfRule>
    <cfRule type="cellIs" dxfId="43" priority="5" operator="greaterThan">
      <formula>0</formula>
    </cfRule>
  </conditionalFormatting>
  <pageMargins left="0.31496062992125984" right="0.11811023622047245" top="0.74803149606299213" bottom="0.74803149606299213" header="0" footer="0"/>
  <pageSetup paperSize="5" scale="7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97AA-AE30-4086-891C-6F81A2952B7E}">
  <dimension ref="A1:R32"/>
  <sheetViews>
    <sheetView zoomScale="98" zoomScaleNormal="60" workbookViewId="0">
      <selection activeCell="A2" sqref="A2:L2"/>
    </sheetView>
  </sheetViews>
  <sheetFormatPr defaultRowHeight="15" x14ac:dyDescent="0.25"/>
  <cols>
    <col min="1" max="1" width="3.42578125" bestFit="1" customWidth="1"/>
    <col min="2" max="2" width="24.85546875" bestFit="1" customWidth="1"/>
    <col min="3" max="3" width="28.7109375" customWidth="1"/>
    <col min="4" max="4" width="8.85546875" bestFit="1" customWidth="1"/>
    <col min="5" max="5" width="10" bestFit="1" customWidth="1"/>
    <col min="6" max="6" width="17.28515625" bestFit="1" customWidth="1"/>
    <col min="7" max="8" width="15.28515625" bestFit="1" customWidth="1"/>
    <col min="9" max="9" width="10.28515625" style="2" customWidth="1"/>
    <col min="10" max="10" width="9.7109375" style="2" customWidth="1"/>
    <col min="11" max="11" width="9.7109375" customWidth="1"/>
    <col min="12" max="12" width="9.42578125" style="2" customWidth="1"/>
    <col min="13" max="13" width="3.28515625" customWidth="1"/>
    <col min="16" max="16" width="3.28515625" customWidth="1"/>
    <col min="17" max="18" width="15.28515625" bestFit="1" customWidth="1"/>
  </cols>
  <sheetData>
    <row r="1" spans="1:18" x14ac:dyDescent="0.25">
      <c r="A1" s="59" t="s">
        <v>71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1:18" x14ac:dyDescent="0.25">
      <c r="A2" s="65">
        <f>KONSOL!A2</f>
        <v>46178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8" ht="16.5" customHeight="1" x14ac:dyDescent="0.25">
      <c r="A3" s="57" t="s">
        <v>0</v>
      </c>
      <c r="B3" s="57" t="s">
        <v>1</v>
      </c>
      <c r="C3" s="57" t="s">
        <v>2</v>
      </c>
      <c r="D3" s="57" t="s">
        <v>46</v>
      </c>
      <c r="E3" s="57" t="s">
        <v>3</v>
      </c>
      <c r="F3" s="61" t="s">
        <v>51</v>
      </c>
      <c r="G3" s="62"/>
      <c r="H3" s="63" t="s">
        <v>6</v>
      </c>
      <c r="I3" s="57" t="s">
        <v>55</v>
      </c>
      <c r="J3" s="57" t="s">
        <v>52</v>
      </c>
      <c r="K3" s="57"/>
      <c r="L3" s="57" t="s">
        <v>50</v>
      </c>
      <c r="M3" s="2"/>
      <c r="N3" s="58" t="s">
        <v>58</v>
      </c>
      <c r="O3" s="58"/>
      <c r="Q3" s="58" t="s">
        <v>61</v>
      </c>
      <c r="R3" s="58"/>
    </row>
    <row r="4" spans="1:18" ht="16.5" customHeight="1" x14ac:dyDescent="0.25">
      <c r="A4" s="57"/>
      <c r="B4" s="57"/>
      <c r="C4" s="57"/>
      <c r="D4" s="57"/>
      <c r="E4" s="57"/>
      <c r="F4" s="3" t="s">
        <v>47</v>
      </c>
      <c r="G4" s="3" t="s">
        <v>48</v>
      </c>
      <c r="H4" s="64"/>
      <c r="I4" s="57"/>
      <c r="J4" s="3" t="s">
        <v>57</v>
      </c>
      <c r="K4" s="3" t="s">
        <v>49</v>
      </c>
      <c r="L4" s="57"/>
      <c r="M4" s="2"/>
      <c r="N4" s="7" t="s">
        <v>59</v>
      </c>
      <c r="O4" s="7" t="s">
        <v>60</v>
      </c>
      <c r="Q4" s="7" t="s">
        <v>47</v>
      </c>
      <c r="R4" s="7" t="s">
        <v>48</v>
      </c>
    </row>
    <row r="5" spans="1:18" x14ac:dyDescent="0.25">
      <c r="A5" s="55">
        <v>1</v>
      </c>
      <c r="B5" s="56" t="s">
        <v>11</v>
      </c>
      <c r="C5" s="5" t="s">
        <v>12</v>
      </c>
      <c r="D5" s="6" t="s">
        <v>54</v>
      </c>
      <c r="E5" s="4">
        <f>INPUT!D33</f>
        <v>10</v>
      </c>
      <c r="F5" s="9">
        <f>INPUT!F33</f>
        <v>42622811780</v>
      </c>
      <c r="G5" s="15">
        <f>F5*110%</f>
        <v>46885092958</v>
      </c>
      <c r="H5" s="9">
        <f>INPUT!G33</f>
        <v>50161302371</v>
      </c>
      <c r="I5" s="13">
        <f>INPUT!J33</f>
        <v>117.69</v>
      </c>
      <c r="J5" s="13">
        <f>INPUT!P3</f>
        <v>11.7</v>
      </c>
      <c r="K5" s="4">
        <f>INPUT!K33</f>
        <v>11.77</v>
      </c>
      <c r="L5" s="13">
        <f>K5-J5</f>
        <v>7.0000000000000284E-2</v>
      </c>
      <c r="N5" s="5"/>
      <c r="O5" s="5"/>
      <c r="Q5" s="15">
        <f>H5-F5</f>
        <v>7538490591</v>
      </c>
      <c r="R5" s="15">
        <f>H5-G5</f>
        <v>3276209413</v>
      </c>
    </row>
    <row r="6" spans="1:18" x14ac:dyDescent="0.25">
      <c r="A6" s="55"/>
      <c r="B6" s="56"/>
      <c r="C6" s="5" t="s">
        <v>13</v>
      </c>
      <c r="D6" s="4">
        <v>110</v>
      </c>
      <c r="E6" s="4">
        <f>INPUT!D34</f>
        <v>5</v>
      </c>
      <c r="F6" s="9">
        <f>INPUT!F34</f>
        <v>11839554017</v>
      </c>
      <c r="G6" s="15">
        <f t="shared" ref="G6:G14" si="0">F6*110%</f>
        <v>13023509418.700001</v>
      </c>
      <c r="H6" s="9">
        <f>INPUT!G34</f>
        <v>11142140348</v>
      </c>
      <c r="I6" s="13">
        <f>INPUT!J34</f>
        <v>94.11</v>
      </c>
      <c r="J6" s="13">
        <f>INPUT!P4</f>
        <v>4.6900000000000004</v>
      </c>
      <c r="K6" s="4">
        <f>INPUT!K34</f>
        <v>4.71</v>
      </c>
      <c r="L6" s="13">
        <f t="shared" ref="L6:L31" si="1">K6-J6</f>
        <v>1.9999999999999574E-2</v>
      </c>
      <c r="N6" s="5"/>
      <c r="O6" s="5"/>
      <c r="Q6" s="15">
        <f t="shared" ref="Q6:Q30" si="2">H6-F6</f>
        <v>-697413669</v>
      </c>
      <c r="R6" s="15">
        <f t="shared" ref="R6:R30" si="3">H6-G6</f>
        <v>-1881369070.7000008</v>
      </c>
    </row>
    <row r="7" spans="1:18" x14ac:dyDescent="0.25">
      <c r="A7" s="55"/>
      <c r="B7" s="56"/>
      <c r="C7" s="5" t="s">
        <v>14</v>
      </c>
      <c r="D7" s="6" t="s">
        <v>54</v>
      </c>
      <c r="E7" s="4">
        <f>INPUT!D35</f>
        <v>7.5</v>
      </c>
      <c r="F7" s="9">
        <f>INPUT!F35</f>
        <v>8633448014</v>
      </c>
      <c r="G7" s="15">
        <f t="shared" si="0"/>
        <v>9496792815.4000015</v>
      </c>
      <c r="H7" s="9">
        <f>INPUT!G35</f>
        <v>11434722100</v>
      </c>
      <c r="I7" s="13">
        <f>INPUT!J35</f>
        <v>132.44999999999999</v>
      </c>
      <c r="J7" s="13">
        <f>INPUT!P5</f>
        <v>9.82</v>
      </c>
      <c r="K7" s="4">
        <f>INPUT!K35</f>
        <v>9.93</v>
      </c>
      <c r="L7" s="13">
        <f t="shared" si="1"/>
        <v>0.10999999999999943</v>
      </c>
      <c r="N7" s="5"/>
      <c r="O7" s="5"/>
      <c r="Q7" s="15">
        <f t="shared" si="2"/>
        <v>2801274086</v>
      </c>
      <c r="R7" s="15">
        <f t="shared" si="3"/>
        <v>1937929284.5999985</v>
      </c>
    </row>
    <row r="8" spans="1:18" x14ac:dyDescent="0.25">
      <c r="A8" s="55"/>
      <c r="B8" s="56"/>
      <c r="C8" s="5" t="s">
        <v>15</v>
      </c>
      <c r="D8" s="4">
        <v>110</v>
      </c>
      <c r="E8" s="4">
        <f>INPUT!D36</f>
        <v>5</v>
      </c>
      <c r="F8" s="9">
        <f>INPUT!F36</f>
        <v>65834609329</v>
      </c>
      <c r="G8" s="15">
        <f t="shared" si="0"/>
        <v>72418070261.900009</v>
      </c>
      <c r="H8" s="9">
        <f>INPUT!G36</f>
        <v>76702946469</v>
      </c>
      <c r="I8" s="13">
        <f>INPUT!J36</f>
        <v>110</v>
      </c>
      <c r="J8" s="13">
        <f>INPUT!P6</f>
        <v>5.5</v>
      </c>
      <c r="K8" s="4">
        <f>INPUT!K36</f>
        <v>5.5</v>
      </c>
      <c r="L8" s="13">
        <f t="shared" si="1"/>
        <v>0</v>
      </c>
      <c r="N8" s="5"/>
      <c r="O8" s="5"/>
      <c r="Q8" s="15">
        <f t="shared" si="2"/>
        <v>10868337140</v>
      </c>
      <c r="R8" s="15">
        <f t="shared" si="3"/>
        <v>4284876207.0999908</v>
      </c>
    </row>
    <row r="9" spans="1:18" x14ac:dyDescent="0.25">
      <c r="A9" s="4">
        <v>2</v>
      </c>
      <c r="B9" s="5" t="s">
        <v>16</v>
      </c>
      <c r="C9" s="5" t="s">
        <v>16</v>
      </c>
      <c r="D9" s="4">
        <v>110</v>
      </c>
      <c r="E9" s="4">
        <f>INPUT!D37</f>
        <v>10</v>
      </c>
      <c r="F9" s="9">
        <f>INPUT!F37</f>
        <v>8257115195</v>
      </c>
      <c r="G9" s="15">
        <f t="shared" si="0"/>
        <v>9082826714.5</v>
      </c>
      <c r="H9" s="9">
        <f>INPUT!G37</f>
        <v>3600706536.402</v>
      </c>
      <c r="I9" s="13">
        <f>INPUT!J37</f>
        <v>43.61</v>
      </c>
      <c r="J9" s="13">
        <f>INPUT!P7</f>
        <v>4.3600000000000003</v>
      </c>
      <c r="K9" s="4">
        <f>INPUT!K37</f>
        <v>4.3600000000000003</v>
      </c>
      <c r="L9" s="13">
        <f t="shared" si="1"/>
        <v>0</v>
      </c>
      <c r="N9" s="5"/>
      <c r="O9" s="5"/>
      <c r="Q9" s="15">
        <f t="shared" si="2"/>
        <v>-4656408658.5979996</v>
      </c>
      <c r="R9" s="15">
        <f t="shared" si="3"/>
        <v>-5482120178.0979996</v>
      </c>
    </row>
    <row r="10" spans="1:18" x14ac:dyDescent="0.25">
      <c r="A10" s="4">
        <v>3</v>
      </c>
      <c r="B10" s="5" t="s">
        <v>17</v>
      </c>
      <c r="C10" s="20" t="s">
        <v>17</v>
      </c>
      <c r="D10" s="4">
        <v>110</v>
      </c>
      <c r="E10" s="4"/>
      <c r="F10" s="9">
        <f>INPUT!F38</f>
        <v>0</v>
      </c>
      <c r="G10" s="15">
        <f t="shared" si="0"/>
        <v>0</v>
      </c>
      <c r="H10" s="5"/>
      <c r="I10" s="13">
        <f>INPUT!J38</f>
        <v>0</v>
      </c>
      <c r="J10" s="13">
        <f>INPUT!P8</f>
        <v>0</v>
      </c>
      <c r="K10" s="4">
        <f>INPUT!K38</f>
        <v>0</v>
      </c>
      <c r="L10" s="13">
        <f t="shared" si="1"/>
        <v>0</v>
      </c>
      <c r="N10" s="5"/>
      <c r="O10" s="5"/>
      <c r="Q10" s="15">
        <f t="shared" si="2"/>
        <v>0</v>
      </c>
      <c r="R10" s="15">
        <f t="shared" si="3"/>
        <v>0</v>
      </c>
    </row>
    <row r="11" spans="1:18" x14ac:dyDescent="0.25">
      <c r="A11" s="55">
        <v>4</v>
      </c>
      <c r="B11" s="56" t="s">
        <v>18</v>
      </c>
      <c r="C11" s="5" t="s">
        <v>19</v>
      </c>
      <c r="D11" s="4">
        <v>110</v>
      </c>
      <c r="E11" s="4">
        <f>INPUT!D39</f>
        <v>5</v>
      </c>
      <c r="F11" s="9">
        <f>INPUT!F39</f>
        <v>2255</v>
      </c>
      <c r="G11" s="15">
        <f t="shared" si="0"/>
        <v>2480.5</v>
      </c>
      <c r="H11" s="12">
        <f>INPUT!G39</f>
        <v>2333</v>
      </c>
      <c r="I11" s="13">
        <f>INPUT!J39</f>
        <v>103.44</v>
      </c>
      <c r="J11" s="13">
        <f>INPUT!P9</f>
        <v>4.84</v>
      </c>
      <c r="K11" s="4">
        <f>INPUT!K39</f>
        <v>5.17</v>
      </c>
      <c r="L11" s="13">
        <f t="shared" si="1"/>
        <v>0.33000000000000007</v>
      </c>
      <c r="N11" s="5"/>
      <c r="O11" s="5"/>
      <c r="Q11" s="15">
        <f t="shared" si="2"/>
        <v>78</v>
      </c>
      <c r="R11" s="15">
        <f t="shared" si="3"/>
        <v>-147.5</v>
      </c>
    </row>
    <row r="12" spans="1:18" x14ac:dyDescent="0.25">
      <c r="A12" s="55"/>
      <c r="B12" s="56"/>
      <c r="C12" s="5" t="s">
        <v>20</v>
      </c>
      <c r="D12" s="4">
        <v>110</v>
      </c>
      <c r="E12" s="4">
        <f>INPUT!D40</f>
        <v>2.5</v>
      </c>
      <c r="F12" s="9">
        <f>INPUT!F40</f>
        <v>62</v>
      </c>
      <c r="G12" s="15">
        <f t="shared" si="0"/>
        <v>68.2</v>
      </c>
      <c r="H12" s="12">
        <f>INPUT!G40</f>
        <v>69</v>
      </c>
      <c r="I12" s="13">
        <f>INPUT!J40</f>
        <v>110</v>
      </c>
      <c r="J12" s="13">
        <f>INPUT!P10</f>
        <v>2.75</v>
      </c>
      <c r="K12" s="4">
        <f>INPUT!K40</f>
        <v>2.75</v>
      </c>
      <c r="L12" s="13">
        <f t="shared" si="1"/>
        <v>0</v>
      </c>
      <c r="N12" s="5"/>
      <c r="O12" s="5"/>
      <c r="Q12" s="15">
        <f t="shared" si="2"/>
        <v>7</v>
      </c>
      <c r="R12" s="15">
        <f t="shared" si="3"/>
        <v>0.79999999999999716</v>
      </c>
    </row>
    <row r="13" spans="1:18" x14ac:dyDescent="0.25">
      <c r="A13" s="55"/>
      <c r="B13" s="56"/>
      <c r="C13" s="5" t="s">
        <v>21</v>
      </c>
      <c r="D13" s="4">
        <v>110</v>
      </c>
      <c r="E13" s="4">
        <f>INPUT!D41</f>
        <v>5</v>
      </c>
      <c r="F13" s="9">
        <f>INPUT!F41</f>
        <v>8494</v>
      </c>
      <c r="G13" s="15">
        <f t="shared" si="0"/>
        <v>9343.4000000000015</v>
      </c>
      <c r="H13" s="12">
        <f>INPUT!G41</f>
        <v>6389</v>
      </c>
      <c r="I13" s="13">
        <f>INPUT!J41</f>
        <v>75.22</v>
      </c>
      <c r="J13" s="13">
        <f>INPUT!P11</f>
        <v>3.64</v>
      </c>
      <c r="K13" s="4">
        <f>INPUT!K41</f>
        <v>3.76</v>
      </c>
      <c r="L13" s="13">
        <f t="shared" si="1"/>
        <v>0.11999999999999966</v>
      </c>
      <c r="N13" s="5"/>
      <c r="O13" s="5"/>
      <c r="Q13" s="15">
        <f t="shared" si="2"/>
        <v>-2105</v>
      </c>
      <c r="R13" s="15">
        <f t="shared" si="3"/>
        <v>-2954.4000000000015</v>
      </c>
    </row>
    <row r="14" spans="1:18" x14ac:dyDescent="0.25">
      <c r="A14" s="55"/>
      <c r="B14" s="56"/>
      <c r="C14" s="5" t="s">
        <v>22</v>
      </c>
      <c r="D14" s="4">
        <v>110</v>
      </c>
      <c r="E14" s="4">
        <f>INPUT!D42</f>
        <v>5</v>
      </c>
      <c r="F14" s="9">
        <f>INPUT!F42</f>
        <v>1861</v>
      </c>
      <c r="G14" s="15">
        <f t="shared" si="0"/>
        <v>2047.1000000000001</v>
      </c>
      <c r="H14" s="12">
        <f>INPUT!G42</f>
        <v>1763</v>
      </c>
      <c r="I14" s="13">
        <f>INPUT!J42</f>
        <v>94.72</v>
      </c>
      <c r="J14" s="13">
        <f>INPUT!P12</f>
        <v>4.7</v>
      </c>
      <c r="K14" s="4">
        <f>INPUT!K42</f>
        <v>4.74</v>
      </c>
      <c r="L14" s="13">
        <f t="shared" si="1"/>
        <v>4.0000000000000036E-2</v>
      </c>
      <c r="N14" s="5"/>
      <c r="O14" s="5"/>
      <c r="Q14" s="15">
        <f t="shared" si="2"/>
        <v>-98</v>
      </c>
      <c r="R14" s="15">
        <f t="shared" si="3"/>
        <v>-284.10000000000014</v>
      </c>
    </row>
    <row r="15" spans="1:18" x14ac:dyDescent="0.25">
      <c r="A15" s="55">
        <v>5</v>
      </c>
      <c r="B15" s="56" t="s">
        <v>23</v>
      </c>
      <c r="C15" s="5" t="s">
        <v>24</v>
      </c>
      <c r="D15" s="4">
        <v>110</v>
      </c>
      <c r="E15" s="4">
        <f>INPUT!D43</f>
        <v>3</v>
      </c>
      <c r="F15" s="27">
        <f>INPUT!F43</f>
        <v>0.31</v>
      </c>
      <c r="G15" s="10">
        <f>F15-(F15*10%)</f>
        <v>0.27900000000000003</v>
      </c>
      <c r="H15" s="5">
        <f>INPUT!G43</f>
        <v>0.16</v>
      </c>
      <c r="I15" s="13">
        <f>INPUT!J43</f>
        <v>110</v>
      </c>
      <c r="J15" s="13">
        <f>INPUT!P13</f>
        <v>3.3</v>
      </c>
      <c r="K15" s="4">
        <f>INPUT!K43</f>
        <v>3.3</v>
      </c>
      <c r="L15" s="13">
        <f t="shared" si="1"/>
        <v>0</v>
      </c>
      <c r="N15" s="5"/>
      <c r="O15" s="5"/>
      <c r="Q15" s="24">
        <f>F15-H15</f>
        <v>0.15</v>
      </c>
      <c r="R15" s="24">
        <f>G15-H15</f>
        <v>0.11900000000000002</v>
      </c>
    </row>
    <row r="16" spans="1:18" x14ac:dyDescent="0.25">
      <c r="A16" s="55"/>
      <c r="B16" s="56"/>
      <c r="C16" s="5" t="s">
        <v>25</v>
      </c>
      <c r="D16" s="4">
        <v>110</v>
      </c>
      <c r="E16" s="4">
        <f>INPUT!D44</f>
        <v>2</v>
      </c>
      <c r="F16" s="27">
        <f>INPUT!F44</f>
        <v>1.95</v>
      </c>
      <c r="G16" s="10">
        <f t="shared" ref="G16:G20" si="4">F16-(F16*10%)</f>
        <v>1.7549999999999999</v>
      </c>
      <c r="H16" s="5">
        <f>INPUT!G44</f>
        <v>2.15</v>
      </c>
      <c r="I16" s="13">
        <f>INPUT!J44</f>
        <v>90.77</v>
      </c>
      <c r="J16" s="13">
        <f>INPUT!P14</f>
        <v>1.96</v>
      </c>
      <c r="K16" s="4">
        <f>INPUT!K44</f>
        <v>1.82</v>
      </c>
      <c r="L16" s="13">
        <f t="shared" si="1"/>
        <v>-0.1399999999999999</v>
      </c>
      <c r="N16" s="5"/>
      <c r="O16" s="5"/>
      <c r="Q16" s="24">
        <f t="shared" ref="Q16:Q20" si="5">F16-H16</f>
        <v>-0.19999999999999996</v>
      </c>
      <c r="R16" s="24">
        <f t="shared" ref="R16:R20" si="6">G16-H16</f>
        <v>-0.39500000000000002</v>
      </c>
    </row>
    <row r="17" spans="1:18" x14ac:dyDescent="0.25">
      <c r="A17" s="55"/>
      <c r="B17" s="56"/>
      <c r="C17" s="5" t="s">
        <v>26</v>
      </c>
      <c r="D17" s="4">
        <v>110</v>
      </c>
      <c r="E17" s="4">
        <f>INPUT!D45</f>
        <v>2.5</v>
      </c>
      <c r="F17" s="27">
        <f>INPUT!F45</f>
        <v>0.87</v>
      </c>
      <c r="G17" s="10">
        <f t="shared" si="4"/>
        <v>0.78300000000000003</v>
      </c>
      <c r="H17" s="10">
        <f>INPUT!G45</f>
        <v>0</v>
      </c>
      <c r="I17" s="13">
        <f>INPUT!J45</f>
        <v>110</v>
      </c>
      <c r="J17" s="13">
        <f>INPUT!P15</f>
        <v>2.75</v>
      </c>
      <c r="K17" s="4">
        <f>INPUT!K45</f>
        <v>2.75</v>
      </c>
      <c r="L17" s="13">
        <f t="shared" si="1"/>
        <v>0</v>
      </c>
      <c r="N17" s="5"/>
      <c r="O17" s="5"/>
      <c r="Q17" s="24">
        <f t="shared" si="5"/>
        <v>0.87</v>
      </c>
      <c r="R17" s="24">
        <f t="shared" si="6"/>
        <v>0.78300000000000003</v>
      </c>
    </row>
    <row r="18" spans="1:18" x14ac:dyDescent="0.25">
      <c r="A18" s="55"/>
      <c r="B18" s="56"/>
      <c r="C18" s="5" t="s">
        <v>27</v>
      </c>
      <c r="D18" s="4">
        <v>110</v>
      </c>
      <c r="E18" s="4">
        <f>INPUT!D46</f>
        <v>3</v>
      </c>
      <c r="F18" s="27">
        <f>INPUT!F46</f>
        <v>2.75</v>
      </c>
      <c r="G18" s="10">
        <f t="shared" si="4"/>
        <v>2.4750000000000001</v>
      </c>
      <c r="H18" s="5">
        <f>INPUT!G46</f>
        <v>7.51</v>
      </c>
      <c r="I18" s="13">
        <f>INPUT!J46</f>
        <v>36.67</v>
      </c>
      <c r="J18" s="13">
        <f>INPUT!P16</f>
        <v>2.72</v>
      </c>
      <c r="K18" s="4">
        <f>INPUT!K46</f>
        <v>1.1000000000000001</v>
      </c>
      <c r="L18" s="13">
        <f t="shared" si="1"/>
        <v>-1.62</v>
      </c>
      <c r="N18" s="5"/>
      <c r="O18" s="5"/>
      <c r="Q18" s="24">
        <f t="shared" si="5"/>
        <v>-4.76</v>
      </c>
      <c r="R18" s="24">
        <f t="shared" si="6"/>
        <v>-5.0350000000000001</v>
      </c>
    </row>
    <row r="19" spans="1:18" x14ac:dyDescent="0.25">
      <c r="A19" s="55"/>
      <c r="B19" s="56"/>
      <c r="C19" s="5" t="s">
        <v>28</v>
      </c>
      <c r="D19" s="4">
        <v>110</v>
      </c>
      <c r="E19" s="4">
        <f>INPUT!D47</f>
        <v>2</v>
      </c>
      <c r="F19" s="27">
        <f>INPUT!F47</f>
        <v>12.21</v>
      </c>
      <c r="G19" s="10">
        <f t="shared" si="4"/>
        <v>10.989000000000001</v>
      </c>
      <c r="H19" s="5">
        <f>INPUT!G47</f>
        <v>9.35</v>
      </c>
      <c r="I19" s="13">
        <f>INPUT!J47</f>
        <v>110</v>
      </c>
      <c r="J19" s="13">
        <f>INPUT!P17</f>
        <v>1.59</v>
      </c>
      <c r="K19" s="4">
        <f>INPUT!K47</f>
        <v>2.2000000000000002</v>
      </c>
      <c r="L19" s="13">
        <f t="shared" si="1"/>
        <v>0.6100000000000001</v>
      </c>
      <c r="N19" s="5"/>
      <c r="O19" s="5"/>
      <c r="Q19" s="24">
        <f t="shared" si="5"/>
        <v>2.8600000000000012</v>
      </c>
      <c r="R19" s="24">
        <f t="shared" si="6"/>
        <v>1.6390000000000011</v>
      </c>
    </row>
    <row r="20" spans="1:18" x14ac:dyDescent="0.25">
      <c r="A20" s="55"/>
      <c r="B20" s="56"/>
      <c r="C20" s="5" t="s">
        <v>29</v>
      </c>
      <c r="D20" s="4">
        <v>110</v>
      </c>
      <c r="E20" s="4">
        <f>INPUT!D48</f>
        <v>2.5</v>
      </c>
      <c r="F20" s="27">
        <f>INPUT!F48</f>
        <v>11.04</v>
      </c>
      <c r="G20" s="10">
        <f t="shared" si="4"/>
        <v>9.9359999999999999</v>
      </c>
      <c r="H20" s="5">
        <f>INPUT!G48</f>
        <v>5.22</v>
      </c>
      <c r="I20" s="13">
        <f>INPUT!J48</f>
        <v>110</v>
      </c>
      <c r="J20" s="13">
        <f>INPUT!P18</f>
        <v>2.75</v>
      </c>
      <c r="K20" s="4">
        <f>INPUT!K48</f>
        <v>2.75</v>
      </c>
      <c r="L20" s="13">
        <f t="shared" si="1"/>
        <v>0</v>
      </c>
      <c r="N20" s="5"/>
      <c r="O20" s="5"/>
      <c r="Q20" s="24">
        <f t="shared" si="5"/>
        <v>5.8199999999999994</v>
      </c>
      <c r="R20" s="24">
        <f t="shared" si="6"/>
        <v>4.7160000000000002</v>
      </c>
    </row>
    <row r="21" spans="1:18" x14ac:dyDescent="0.25">
      <c r="A21" s="4">
        <v>6</v>
      </c>
      <c r="B21" s="5" t="s">
        <v>30</v>
      </c>
      <c r="C21" s="20" t="s">
        <v>31</v>
      </c>
      <c r="D21" s="4">
        <v>110</v>
      </c>
      <c r="E21" s="4"/>
      <c r="F21" s="9">
        <f>INPUT!F49</f>
        <v>0</v>
      </c>
      <c r="G21" s="5"/>
      <c r="H21" s="5">
        <f>INPUT!G49</f>
        <v>0</v>
      </c>
      <c r="I21" s="13">
        <f>INPUT!J49</f>
        <v>0</v>
      </c>
      <c r="J21" s="13">
        <f>INPUT!P19</f>
        <v>0</v>
      </c>
      <c r="K21" s="4">
        <f>INPUT!K49</f>
        <v>0</v>
      </c>
      <c r="L21" s="13">
        <f t="shared" si="1"/>
        <v>0</v>
      </c>
      <c r="N21" s="5"/>
      <c r="O21" s="5"/>
      <c r="Q21" s="15">
        <f t="shared" si="2"/>
        <v>0</v>
      </c>
      <c r="R21" s="15">
        <f t="shared" si="3"/>
        <v>0</v>
      </c>
    </row>
    <row r="22" spans="1:18" x14ac:dyDescent="0.25">
      <c r="A22" s="55">
        <v>7</v>
      </c>
      <c r="B22" s="56" t="s">
        <v>32</v>
      </c>
      <c r="C22" s="26" t="s">
        <v>33</v>
      </c>
      <c r="D22" s="6" t="s">
        <v>54</v>
      </c>
      <c r="E22" s="4">
        <f>INPUT!D50</f>
        <v>2.5</v>
      </c>
      <c r="F22" s="9">
        <f>INPUT!F50</f>
        <v>4328</v>
      </c>
      <c r="G22" s="12">
        <f>F22*110%</f>
        <v>4760.8</v>
      </c>
      <c r="H22" s="12">
        <f>INPUT!G50</f>
        <v>2777</v>
      </c>
      <c r="I22" s="13">
        <f>INPUT!J50</f>
        <v>64.17</v>
      </c>
      <c r="J22" s="13">
        <f>INPUT!P20</f>
        <v>1.58</v>
      </c>
      <c r="K22" s="4">
        <f>INPUT!K50</f>
        <v>1.6</v>
      </c>
      <c r="L22" s="13">
        <f t="shared" si="1"/>
        <v>2.0000000000000018E-2</v>
      </c>
      <c r="N22" s="5"/>
      <c r="O22" s="5"/>
      <c r="Q22" s="15">
        <f t="shared" si="2"/>
        <v>-1551</v>
      </c>
      <c r="R22" s="15">
        <f t="shared" si="3"/>
        <v>-1983.8000000000002</v>
      </c>
    </row>
    <row r="23" spans="1:18" x14ac:dyDescent="0.25">
      <c r="A23" s="55"/>
      <c r="B23" s="56"/>
      <c r="C23" s="5" t="s">
        <v>34</v>
      </c>
      <c r="D23" s="4">
        <v>110</v>
      </c>
      <c r="E23" s="4">
        <f>INPUT!D51</f>
        <v>2.5</v>
      </c>
      <c r="F23" s="9">
        <f>INPUT!F51</f>
        <v>18322</v>
      </c>
      <c r="G23" s="12">
        <f>F23*110%</f>
        <v>20154.2</v>
      </c>
      <c r="H23" s="12">
        <f>INPUT!G51</f>
        <v>18501.868299999998</v>
      </c>
      <c r="I23" s="13">
        <f>INPUT!J51</f>
        <v>100.98</v>
      </c>
      <c r="J23" s="13">
        <f>INPUT!P21</f>
        <v>2.5099999999999998</v>
      </c>
      <c r="K23" s="4">
        <f>INPUT!K51</f>
        <v>2.52</v>
      </c>
      <c r="L23" s="13">
        <f t="shared" si="1"/>
        <v>1.0000000000000231E-2</v>
      </c>
      <c r="N23" s="5"/>
      <c r="O23" s="5"/>
      <c r="Q23" s="15">
        <f t="shared" si="2"/>
        <v>179.86829999999827</v>
      </c>
      <c r="R23" s="15">
        <f t="shared" si="3"/>
        <v>-1652.3317000000025</v>
      </c>
    </row>
    <row r="24" spans="1:18" x14ac:dyDescent="0.25">
      <c r="A24" s="55"/>
      <c r="B24" s="56"/>
      <c r="C24" s="5" t="s">
        <v>35</v>
      </c>
      <c r="D24" s="4">
        <v>110</v>
      </c>
      <c r="E24" s="4">
        <f>INPUT!D52</f>
        <v>5</v>
      </c>
      <c r="F24" s="9">
        <f>INPUT!F52</f>
        <v>4232</v>
      </c>
      <c r="G24" s="12">
        <f t="shared" ref="G24:G30" si="7">F24*110%</f>
        <v>4655.2000000000007</v>
      </c>
      <c r="H24" s="12">
        <f>INPUT!G52</f>
        <v>3492</v>
      </c>
      <c r="I24" s="13">
        <f>INPUT!J52</f>
        <v>82.52</v>
      </c>
      <c r="J24" s="13">
        <f>INPUT!P22</f>
        <v>4.08</v>
      </c>
      <c r="K24" s="4">
        <f>INPUT!K52</f>
        <v>4.13</v>
      </c>
      <c r="L24" s="13">
        <f t="shared" si="1"/>
        <v>4.9999999999999822E-2</v>
      </c>
      <c r="N24" s="5"/>
      <c r="O24" s="5"/>
      <c r="Q24" s="15">
        <f t="shared" si="2"/>
        <v>-740</v>
      </c>
      <c r="R24" s="15">
        <f t="shared" si="3"/>
        <v>-1163.2000000000007</v>
      </c>
    </row>
    <row r="25" spans="1:18" x14ac:dyDescent="0.25">
      <c r="A25" s="55">
        <v>8</v>
      </c>
      <c r="B25" s="56" t="s">
        <v>36</v>
      </c>
      <c r="C25" s="5" t="s">
        <v>37</v>
      </c>
      <c r="D25" s="4">
        <v>110</v>
      </c>
      <c r="E25" s="4">
        <f>INPUT!D53</f>
        <v>5</v>
      </c>
      <c r="F25" s="9">
        <f>INPUT!F53</f>
        <v>4406</v>
      </c>
      <c r="G25" s="12">
        <f t="shared" si="7"/>
        <v>4846.6000000000004</v>
      </c>
      <c r="H25" s="12">
        <f>INPUT!G53</f>
        <v>3853</v>
      </c>
      <c r="I25" s="13">
        <f>INPUT!J53</f>
        <v>87.46</v>
      </c>
      <c r="J25" s="13">
        <f>INPUT!P23</f>
        <v>4.1900000000000004</v>
      </c>
      <c r="K25" s="4">
        <f>INPUT!K53</f>
        <v>4.37</v>
      </c>
      <c r="L25" s="13">
        <f t="shared" si="1"/>
        <v>0.17999999999999972</v>
      </c>
      <c r="N25" s="5"/>
      <c r="O25" s="5"/>
      <c r="Q25" s="15">
        <f t="shared" si="2"/>
        <v>-553</v>
      </c>
      <c r="R25" s="15">
        <f t="shared" si="3"/>
        <v>-993.60000000000036</v>
      </c>
    </row>
    <row r="26" spans="1:18" x14ac:dyDescent="0.25">
      <c r="A26" s="55"/>
      <c r="B26" s="56"/>
      <c r="C26" s="5" t="s">
        <v>38</v>
      </c>
      <c r="D26" s="4">
        <v>110</v>
      </c>
      <c r="E26" s="4">
        <f>INPUT!D54</f>
        <v>5</v>
      </c>
      <c r="F26" s="9">
        <f>INPUT!F54</f>
        <v>2104011861</v>
      </c>
      <c r="G26" s="9">
        <f t="shared" si="7"/>
        <v>2314413047.1000004</v>
      </c>
      <c r="H26" s="9">
        <f>INPUT!G54</f>
        <v>2791211509</v>
      </c>
      <c r="I26" s="13">
        <f>INPUT!J54</f>
        <v>110</v>
      </c>
      <c r="J26" s="13">
        <f>INPUT!P24</f>
        <v>5.5</v>
      </c>
      <c r="K26" s="4">
        <f>INPUT!K54</f>
        <v>5.5</v>
      </c>
      <c r="L26" s="13">
        <f t="shared" si="1"/>
        <v>0</v>
      </c>
      <c r="N26" s="5"/>
      <c r="O26" s="5"/>
      <c r="Q26" s="15">
        <f t="shared" si="2"/>
        <v>687199648</v>
      </c>
      <c r="R26" s="15">
        <f t="shared" si="3"/>
        <v>476798461.89999962</v>
      </c>
    </row>
    <row r="27" spans="1:18" x14ac:dyDescent="0.25">
      <c r="A27" s="55"/>
      <c r="B27" s="56"/>
      <c r="C27" s="5" t="s">
        <v>39</v>
      </c>
      <c r="D27" s="4">
        <v>110</v>
      </c>
      <c r="E27" s="4">
        <f>INPUT!D55</f>
        <v>5</v>
      </c>
      <c r="F27" s="9">
        <f>INPUT!F55</f>
        <v>38112</v>
      </c>
      <c r="G27" s="12">
        <f t="shared" si="7"/>
        <v>41923.200000000004</v>
      </c>
      <c r="H27" s="12">
        <f>INPUT!G55</f>
        <v>18890</v>
      </c>
      <c r="I27" s="13">
        <f>INPUT!J55</f>
        <v>49.56</v>
      </c>
      <c r="J27" s="13">
        <f>INPUT!P25</f>
        <v>2.2799999999999998</v>
      </c>
      <c r="K27" s="4">
        <f>INPUT!K55</f>
        <v>2.48</v>
      </c>
      <c r="L27" s="13">
        <f t="shared" si="1"/>
        <v>0.20000000000000018</v>
      </c>
      <c r="N27" s="5"/>
      <c r="O27" s="5"/>
      <c r="Q27" s="15">
        <f t="shared" si="2"/>
        <v>-19222</v>
      </c>
      <c r="R27" s="15">
        <f t="shared" si="3"/>
        <v>-23033.200000000004</v>
      </c>
    </row>
    <row r="28" spans="1:18" x14ac:dyDescent="0.25">
      <c r="A28" s="55">
        <v>9</v>
      </c>
      <c r="B28" s="56" t="s">
        <v>40</v>
      </c>
      <c r="C28" s="26" t="s">
        <v>41</v>
      </c>
      <c r="D28" s="4">
        <v>110</v>
      </c>
      <c r="E28" s="4">
        <f>INPUT!D56</f>
        <v>2</v>
      </c>
      <c r="F28" s="9">
        <f>INPUT!F56</f>
        <v>78.760000000000005</v>
      </c>
      <c r="G28" s="5">
        <f t="shared" si="7"/>
        <v>86.63600000000001</v>
      </c>
      <c r="H28" s="5">
        <f>INPUT!G56</f>
        <v>72.14</v>
      </c>
      <c r="I28" s="13">
        <f>INPUT!J56</f>
        <v>91.59</v>
      </c>
      <c r="J28" s="13">
        <f>INPUT!P26</f>
        <v>1.83</v>
      </c>
      <c r="K28" s="4">
        <f>INPUT!K56</f>
        <v>1.83</v>
      </c>
      <c r="L28" s="13">
        <f t="shared" si="1"/>
        <v>0</v>
      </c>
      <c r="N28" s="5"/>
      <c r="O28" s="5"/>
      <c r="Q28" s="15">
        <f t="shared" si="2"/>
        <v>-6.6200000000000045</v>
      </c>
      <c r="R28" s="15">
        <f t="shared" si="3"/>
        <v>-14.496000000000009</v>
      </c>
    </row>
    <row r="29" spans="1:18" x14ac:dyDescent="0.25">
      <c r="A29" s="55"/>
      <c r="B29" s="56"/>
      <c r="C29" s="5" t="s">
        <v>42</v>
      </c>
      <c r="D29" s="4">
        <v>110</v>
      </c>
      <c r="E29" s="4">
        <f>INPUT!D57</f>
        <v>1.5</v>
      </c>
      <c r="F29" s="9">
        <f>INPUT!F57</f>
        <v>89612005</v>
      </c>
      <c r="G29" s="9">
        <f t="shared" si="7"/>
        <v>98573205.500000015</v>
      </c>
      <c r="H29" s="9">
        <f>INPUT!G57</f>
        <v>271316908</v>
      </c>
      <c r="I29" s="13">
        <f>INPUT!J57</f>
        <v>110</v>
      </c>
      <c r="J29" s="13">
        <f>INPUT!P27</f>
        <v>1.65</v>
      </c>
      <c r="K29" s="4">
        <f>INPUT!K57</f>
        <v>1.65</v>
      </c>
      <c r="L29" s="13">
        <f t="shared" si="1"/>
        <v>0</v>
      </c>
      <c r="N29" s="5"/>
      <c r="O29" s="5"/>
      <c r="Q29" s="15">
        <f t="shared" si="2"/>
        <v>181704903</v>
      </c>
      <c r="R29" s="15">
        <f t="shared" si="3"/>
        <v>172743702.5</v>
      </c>
    </row>
    <row r="30" spans="1:18" x14ac:dyDescent="0.25">
      <c r="A30" s="55"/>
      <c r="B30" s="56"/>
      <c r="C30" s="5" t="s">
        <v>43</v>
      </c>
      <c r="D30" s="4">
        <v>110</v>
      </c>
      <c r="E30" s="4">
        <f>INPUT!D58</f>
        <v>1.5</v>
      </c>
      <c r="F30" s="9">
        <f>INPUT!F58</f>
        <v>2497</v>
      </c>
      <c r="G30" s="12">
        <f t="shared" si="7"/>
        <v>2746.7000000000003</v>
      </c>
      <c r="H30" s="16">
        <f>INPUT!G58</f>
        <v>1408.5543</v>
      </c>
      <c r="I30" s="13">
        <f>INPUT!J58</f>
        <v>56.42</v>
      </c>
      <c r="J30" s="13">
        <f>INPUT!P28</f>
        <v>0.83</v>
      </c>
      <c r="K30" s="4">
        <f>INPUT!K58</f>
        <v>0.85</v>
      </c>
      <c r="L30" s="13">
        <f t="shared" si="1"/>
        <v>2.0000000000000018E-2</v>
      </c>
      <c r="N30" s="5"/>
      <c r="O30" s="5"/>
      <c r="Q30" s="15">
        <f t="shared" si="2"/>
        <v>-1088.4457</v>
      </c>
      <c r="R30" s="15">
        <f t="shared" si="3"/>
        <v>-1338.1457000000003</v>
      </c>
    </row>
    <row r="31" spans="1:18" x14ac:dyDescent="0.25">
      <c r="A31" s="4">
        <v>10</v>
      </c>
      <c r="B31" s="5" t="s">
        <v>44</v>
      </c>
      <c r="C31" s="5" t="s">
        <v>44</v>
      </c>
      <c r="D31" s="4"/>
      <c r="E31" s="4"/>
      <c r="F31" s="9">
        <f>INPUT!F59</f>
        <v>8547261445</v>
      </c>
      <c r="G31" s="5"/>
      <c r="H31" s="9">
        <f>INPUT!G59</f>
        <v>10620989386</v>
      </c>
      <c r="I31" s="13">
        <f>INPUT!J59</f>
        <v>124.26</v>
      </c>
      <c r="J31" s="13">
        <f>INPUT!P29</f>
        <v>0</v>
      </c>
      <c r="K31" s="4">
        <f>INPUT!K59</f>
        <v>0</v>
      </c>
      <c r="L31" s="13">
        <f t="shared" si="1"/>
        <v>0</v>
      </c>
      <c r="N31" s="5"/>
      <c r="O31" s="5"/>
      <c r="Q31" s="15"/>
      <c r="R31" s="15"/>
    </row>
    <row r="32" spans="1:18" x14ac:dyDescent="0.25">
      <c r="A32" s="58" t="s">
        <v>53</v>
      </c>
      <c r="B32" s="58"/>
      <c r="C32" s="8"/>
      <c r="D32" s="7"/>
      <c r="E32" s="7">
        <f>SUM(E5:E31)</f>
        <v>100</v>
      </c>
      <c r="F32" s="8"/>
      <c r="G32" s="8"/>
      <c r="H32" s="8"/>
      <c r="I32" s="21"/>
      <c r="J32" s="21">
        <f>SUM(J5:J31)</f>
        <v>91.52</v>
      </c>
      <c r="K32" s="7">
        <f>SUM(K5:K31)</f>
        <v>91.54</v>
      </c>
      <c r="L32" s="23">
        <f>SUM(L5:L31)</f>
        <v>1.999999999999913E-2</v>
      </c>
      <c r="N32" s="14"/>
      <c r="O32" s="14"/>
      <c r="Q32" s="5"/>
      <c r="R32" s="5"/>
    </row>
  </sheetData>
  <sheetProtection sheet="1" objects="1" scenarios="1"/>
  <mergeCells count="27">
    <mergeCell ref="Q3:R3"/>
    <mergeCell ref="N3:O3"/>
    <mergeCell ref="A28:A30"/>
    <mergeCell ref="B28:B30"/>
    <mergeCell ref="A32:B32"/>
    <mergeCell ref="F3:G3"/>
    <mergeCell ref="H3:H4"/>
    <mergeCell ref="A15:A20"/>
    <mergeCell ref="B15:B20"/>
    <mergeCell ref="A22:A24"/>
    <mergeCell ref="B22:B24"/>
    <mergeCell ref="A25:A27"/>
    <mergeCell ref="B25:B27"/>
    <mergeCell ref="J3:K3"/>
    <mergeCell ref="L3:L4"/>
    <mergeCell ref="A5:A8"/>
    <mergeCell ref="B5:B8"/>
    <mergeCell ref="A11:A14"/>
    <mergeCell ref="B11:B14"/>
    <mergeCell ref="A1:L1"/>
    <mergeCell ref="A2:L2"/>
    <mergeCell ref="A3:A4"/>
    <mergeCell ref="B3:B4"/>
    <mergeCell ref="C3:C4"/>
    <mergeCell ref="D3:D4"/>
    <mergeCell ref="E3:E4"/>
    <mergeCell ref="I3:I4"/>
  </mergeCells>
  <conditionalFormatting sqref="I5:I31">
    <cfRule type="cellIs" dxfId="42" priority="1" operator="lessThan">
      <formula>100</formula>
    </cfRule>
    <cfRule type="cellIs" dxfId="41" priority="2" operator="greaterThan">
      <formula>100</formula>
    </cfRule>
  </conditionalFormatting>
  <conditionalFormatting sqref="L5:L32">
    <cfRule type="cellIs" dxfId="40" priority="5" operator="lessThan">
      <formula>0</formula>
    </cfRule>
    <cfRule type="cellIs" dxfId="39" priority="6" operator="greaterThan">
      <formula>0</formula>
    </cfRule>
  </conditionalFormatting>
  <conditionalFormatting sqref="Q5:R30">
    <cfRule type="cellIs" dxfId="38" priority="3" operator="lessThan">
      <formula>0</formula>
    </cfRule>
    <cfRule type="cellIs" dxfId="37" priority="4" operator="greaterThan">
      <formula>0</formula>
    </cfRule>
  </conditionalFormatting>
  <pageMargins left="0.35433070866141736" right="0.11811023622047245" top="0.74803149606299213" bottom="0.74803149606299213" header="0.31496062992125984" footer="0.31496062992125984"/>
  <pageSetup paperSize="5" scale="7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295B8-6972-4DA7-934F-D763A9856BCB}">
  <dimension ref="A1:R32"/>
  <sheetViews>
    <sheetView zoomScale="109" zoomScaleNormal="60" workbookViewId="0">
      <selection activeCell="P19" sqref="P19"/>
    </sheetView>
  </sheetViews>
  <sheetFormatPr defaultRowHeight="15" x14ac:dyDescent="0.25"/>
  <cols>
    <col min="1" max="1" width="3.42578125" bestFit="1" customWidth="1"/>
    <col min="2" max="2" width="24.85546875" bestFit="1" customWidth="1"/>
    <col min="3" max="3" width="28.7109375" customWidth="1"/>
    <col min="4" max="4" width="8.85546875" bestFit="1" customWidth="1"/>
    <col min="5" max="5" width="10" bestFit="1" customWidth="1"/>
    <col min="6" max="6" width="17.28515625" bestFit="1" customWidth="1"/>
    <col min="7" max="7" width="15.28515625" bestFit="1" customWidth="1"/>
    <col min="8" max="8" width="16.28515625" bestFit="1" customWidth="1"/>
    <col min="9" max="12" width="10" style="2" customWidth="1"/>
    <col min="13" max="13" width="3.5703125" customWidth="1"/>
    <col min="16" max="16" width="3.5703125" customWidth="1"/>
    <col min="17" max="18" width="14.42578125" bestFit="1" customWidth="1"/>
  </cols>
  <sheetData>
    <row r="1" spans="1:18" x14ac:dyDescent="0.25">
      <c r="A1" s="59" t="s">
        <v>72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1:18" x14ac:dyDescent="0.25">
      <c r="A2" s="65">
        <f>KONSOL!A2</f>
        <v>46178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8" ht="18" customHeight="1" x14ac:dyDescent="0.25">
      <c r="A3" s="57" t="s">
        <v>0</v>
      </c>
      <c r="B3" s="57" t="s">
        <v>1</v>
      </c>
      <c r="C3" s="57" t="s">
        <v>2</v>
      </c>
      <c r="D3" s="57" t="s">
        <v>46</v>
      </c>
      <c r="E3" s="57" t="s">
        <v>3</v>
      </c>
      <c r="F3" s="61" t="s">
        <v>51</v>
      </c>
      <c r="G3" s="62"/>
      <c r="H3" s="63" t="s">
        <v>6</v>
      </c>
      <c r="I3" s="57" t="s">
        <v>55</v>
      </c>
      <c r="J3" s="57" t="s">
        <v>52</v>
      </c>
      <c r="K3" s="57"/>
      <c r="L3" s="57" t="s">
        <v>50</v>
      </c>
      <c r="M3" s="2"/>
      <c r="N3" s="58" t="s">
        <v>58</v>
      </c>
      <c r="O3" s="58"/>
      <c r="Q3" s="58" t="s">
        <v>61</v>
      </c>
      <c r="R3" s="58"/>
    </row>
    <row r="4" spans="1:18" ht="18" customHeight="1" x14ac:dyDescent="0.25">
      <c r="A4" s="57"/>
      <c r="B4" s="57"/>
      <c r="C4" s="57"/>
      <c r="D4" s="57"/>
      <c r="E4" s="57"/>
      <c r="F4" s="3" t="s">
        <v>47</v>
      </c>
      <c r="G4" s="3" t="s">
        <v>48</v>
      </c>
      <c r="H4" s="64"/>
      <c r="I4" s="57"/>
      <c r="J4" s="3" t="s">
        <v>57</v>
      </c>
      <c r="K4" s="3" t="s">
        <v>49</v>
      </c>
      <c r="L4" s="57"/>
      <c r="M4" s="2"/>
      <c r="N4" s="7" t="s">
        <v>59</v>
      </c>
      <c r="O4" s="7" t="s">
        <v>60</v>
      </c>
      <c r="Q4" s="7" t="s">
        <v>47</v>
      </c>
      <c r="R4" s="7" t="s">
        <v>48</v>
      </c>
    </row>
    <row r="5" spans="1:18" x14ac:dyDescent="0.25">
      <c r="A5" s="55">
        <v>1</v>
      </c>
      <c r="B5" s="56" t="s">
        <v>11</v>
      </c>
      <c r="C5" s="5" t="s">
        <v>12</v>
      </c>
      <c r="D5" s="6" t="s">
        <v>54</v>
      </c>
      <c r="E5" s="4">
        <f>INPUT!D64</f>
        <v>12.5</v>
      </c>
      <c r="F5" s="9">
        <f>INPUT!F64</f>
        <v>15466510610</v>
      </c>
      <c r="G5" s="15">
        <f>F5*110%</f>
        <v>17013161671.000002</v>
      </c>
      <c r="H5" s="9">
        <f>INPUT!G64</f>
        <v>16764118032</v>
      </c>
      <c r="I5" s="13">
        <f>INPUT!J64</f>
        <v>108.39</v>
      </c>
      <c r="J5" s="13">
        <f>INPUT!Q3</f>
        <v>13.49</v>
      </c>
      <c r="K5" s="4">
        <f>INPUT!K64</f>
        <v>13.55</v>
      </c>
      <c r="L5" s="13">
        <f>K5-J5</f>
        <v>6.0000000000000497E-2</v>
      </c>
      <c r="N5" s="5"/>
      <c r="O5" s="5"/>
      <c r="Q5" s="15">
        <f>H5-F5</f>
        <v>1297607422</v>
      </c>
      <c r="R5" s="15">
        <f>H5-G5</f>
        <v>-249043639.00000191</v>
      </c>
    </row>
    <row r="6" spans="1:18" x14ac:dyDescent="0.25">
      <c r="A6" s="55"/>
      <c r="B6" s="56"/>
      <c r="C6" s="20" t="s">
        <v>13</v>
      </c>
      <c r="D6" s="4">
        <v>110</v>
      </c>
      <c r="E6" s="4"/>
      <c r="F6" s="9">
        <f>INPUT!F65</f>
        <v>302765834</v>
      </c>
      <c r="G6" s="15">
        <f t="shared" ref="G6:G14" si="0">F6*110%</f>
        <v>333042417.40000004</v>
      </c>
      <c r="H6" s="9">
        <f>INPUT!G65</f>
        <v>453109283</v>
      </c>
      <c r="I6" s="13">
        <f>INPUT!J65</f>
        <v>0</v>
      </c>
      <c r="J6" s="13">
        <f>INPUT!Q4</f>
        <v>0</v>
      </c>
      <c r="K6" s="4">
        <f>INPUT!K65</f>
        <v>0</v>
      </c>
      <c r="L6" s="13">
        <f t="shared" ref="L6:L31" si="1">K6-J6</f>
        <v>0</v>
      </c>
      <c r="N6" s="5"/>
      <c r="O6" s="5"/>
      <c r="Q6" s="15">
        <f t="shared" ref="Q6:Q30" si="2">H6-F6</f>
        <v>150343449</v>
      </c>
      <c r="R6" s="15">
        <f t="shared" ref="R6:R30" si="3">H6-G6</f>
        <v>120066865.59999996</v>
      </c>
    </row>
    <row r="7" spans="1:18" x14ac:dyDescent="0.25">
      <c r="A7" s="55"/>
      <c r="B7" s="56"/>
      <c r="C7" s="5" t="s">
        <v>14</v>
      </c>
      <c r="D7" s="6" t="s">
        <v>54</v>
      </c>
      <c r="E7" s="4">
        <f>INPUT!D66</f>
        <v>10</v>
      </c>
      <c r="F7" s="9">
        <f>INPUT!F66</f>
        <v>1821557621</v>
      </c>
      <c r="G7" s="15">
        <f t="shared" si="0"/>
        <v>2003713383.1000001</v>
      </c>
      <c r="H7" s="9">
        <f>INPUT!G66</f>
        <v>2202367297</v>
      </c>
      <c r="I7" s="13">
        <f>INPUT!J66</f>
        <v>120.91</v>
      </c>
      <c r="J7" s="13">
        <f>INPUT!Q5</f>
        <v>12.15</v>
      </c>
      <c r="K7" s="4">
        <f>INPUT!K66</f>
        <v>12.09</v>
      </c>
      <c r="L7" s="13">
        <f t="shared" si="1"/>
        <v>-6.0000000000000497E-2</v>
      </c>
      <c r="N7" s="5"/>
      <c r="O7" s="5"/>
      <c r="Q7" s="15">
        <f t="shared" si="2"/>
        <v>380809676</v>
      </c>
      <c r="R7" s="15">
        <f t="shared" si="3"/>
        <v>198653913.89999986</v>
      </c>
    </row>
    <row r="8" spans="1:18" x14ac:dyDescent="0.25">
      <c r="A8" s="55"/>
      <c r="B8" s="56"/>
      <c r="C8" s="5" t="s">
        <v>15</v>
      </c>
      <c r="D8" s="4">
        <v>110</v>
      </c>
      <c r="E8" s="4">
        <f>INPUT!D67</f>
        <v>5</v>
      </c>
      <c r="F8" s="9">
        <f>INPUT!F67</f>
        <v>18190765285</v>
      </c>
      <c r="G8" s="15">
        <f t="shared" si="0"/>
        <v>20009841813.5</v>
      </c>
      <c r="H8" s="9">
        <f>INPUT!G67</f>
        <v>20029658285</v>
      </c>
      <c r="I8" s="13">
        <f>INPUT!J67</f>
        <v>110</v>
      </c>
      <c r="J8" s="13">
        <f>INPUT!Q6</f>
        <v>5.45</v>
      </c>
      <c r="K8" s="4">
        <f>INPUT!K67</f>
        <v>5.5</v>
      </c>
      <c r="L8" s="13">
        <f t="shared" si="1"/>
        <v>4.9999999999999822E-2</v>
      </c>
      <c r="N8" s="5"/>
      <c r="O8" s="5"/>
      <c r="Q8" s="15">
        <f t="shared" si="2"/>
        <v>1838893000</v>
      </c>
      <c r="R8" s="15">
        <f t="shared" si="3"/>
        <v>19816471.5</v>
      </c>
    </row>
    <row r="9" spans="1:18" x14ac:dyDescent="0.25">
      <c r="A9" s="4">
        <v>2</v>
      </c>
      <c r="B9" s="5" t="s">
        <v>16</v>
      </c>
      <c r="C9" s="5" t="s">
        <v>16</v>
      </c>
      <c r="D9" s="4">
        <v>110</v>
      </c>
      <c r="E9" s="4">
        <f>INPUT!D68</f>
        <v>10</v>
      </c>
      <c r="F9" s="9">
        <f>INPUT!F68</f>
        <v>3091999153</v>
      </c>
      <c r="G9" s="15">
        <f t="shared" si="0"/>
        <v>3401199068.3000002</v>
      </c>
      <c r="H9" s="9">
        <f>INPUT!G68</f>
        <v>1311657664.7674999</v>
      </c>
      <c r="I9" s="13">
        <f>INPUT!J68</f>
        <v>42.42</v>
      </c>
      <c r="J9" s="13">
        <f>INPUT!Q7</f>
        <v>4.24</v>
      </c>
      <c r="K9" s="4">
        <f>INPUT!K68</f>
        <v>4.24</v>
      </c>
      <c r="L9" s="13">
        <f t="shared" si="1"/>
        <v>0</v>
      </c>
      <c r="N9" s="5"/>
      <c r="O9" s="5"/>
      <c r="Q9" s="15">
        <f t="shared" si="2"/>
        <v>-1780341488.2325001</v>
      </c>
      <c r="R9" s="15">
        <f t="shared" si="3"/>
        <v>-2089541403.5325003</v>
      </c>
    </row>
    <row r="10" spans="1:18" x14ac:dyDescent="0.25">
      <c r="A10" s="4">
        <v>3</v>
      </c>
      <c r="B10" s="5" t="s">
        <v>17</v>
      </c>
      <c r="C10" s="20" t="s">
        <v>17</v>
      </c>
      <c r="D10" s="4">
        <v>110</v>
      </c>
      <c r="E10" s="4"/>
      <c r="F10" s="9">
        <f>INPUT!F69</f>
        <v>0</v>
      </c>
      <c r="G10" s="15">
        <f t="shared" si="0"/>
        <v>0</v>
      </c>
      <c r="H10" s="5"/>
      <c r="I10" s="13">
        <f>INPUT!J69</f>
        <v>0</v>
      </c>
      <c r="J10" s="13">
        <f>INPUT!Q8</f>
        <v>0</v>
      </c>
      <c r="K10" s="4">
        <f>INPUT!K69</f>
        <v>0</v>
      </c>
      <c r="L10" s="13">
        <f t="shared" si="1"/>
        <v>0</v>
      </c>
      <c r="N10" s="5"/>
      <c r="O10" s="5"/>
      <c r="Q10" s="15">
        <f t="shared" si="2"/>
        <v>0</v>
      </c>
      <c r="R10" s="15">
        <f t="shared" si="3"/>
        <v>0</v>
      </c>
    </row>
    <row r="11" spans="1:18" x14ac:dyDescent="0.25">
      <c r="A11" s="55">
        <v>4</v>
      </c>
      <c r="B11" s="56" t="s">
        <v>18</v>
      </c>
      <c r="C11" s="5" t="s">
        <v>19</v>
      </c>
      <c r="D11" s="4">
        <v>110</v>
      </c>
      <c r="E11" s="4">
        <f>INPUT!D70</f>
        <v>5</v>
      </c>
      <c r="F11" s="9">
        <f>INPUT!F70</f>
        <v>1493</v>
      </c>
      <c r="G11" s="15">
        <f t="shared" si="0"/>
        <v>1642.3000000000002</v>
      </c>
      <c r="H11" s="12">
        <f>INPUT!G70</f>
        <v>387</v>
      </c>
      <c r="I11" s="13">
        <f>INPUT!J70</f>
        <v>25.92</v>
      </c>
      <c r="J11" s="13">
        <f>INPUT!Q9</f>
        <v>1.06</v>
      </c>
      <c r="K11" s="4">
        <f>INPUT!K70</f>
        <v>1.3</v>
      </c>
      <c r="L11" s="13">
        <f t="shared" si="1"/>
        <v>0.24</v>
      </c>
      <c r="N11" s="5"/>
      <c r="O11" s="5"/>
      <c r="Q11" s="15">
        <f t="shared" si="2"/>
        <v>-1106</v>
      </c>
      <c r="R11" s="15">
        <f t="shared" si="3"/>
        <v>-1255.3000000000002</v>
      </c>
    </row>
    <row r="12" spans="1:18" x14ac:dyDescent="0.25">
      <c r="A12" s="55"/>
      <c r="B12" s="56"/>
      <c r="C12" s="5" t="s">
        <v>20</v>
      </c>
      <c r="D12" s="4">
        <v>110</v>
      </c>
      <c r="E12" s="4">
        <f>INPUT!D71</f>
        <v>2.5</v>
      </c>
      <c r="F12" s="9">
        <f>INPUT!F71</f>
        <v>85</v>
      </c>
      <c r="G12" s="15">
        <f t="shared" si="0"/>
        <v>93.500000000000014</v>
      </c>
      <c r="H12" s="12">
        <f>INPUT!G71</f>
        <v>94</v>
      </c>
      <c r="I12" s="13">
        <f>INPUT!J71</f>
        <v>110</v>
      </c>
      <c r="J12" s="13">
        <f>INPUT!Q10</f>
        <v>1.71</v>
      </c>
      <c r="K12" s="4">
        <f>INPUT!K71</f>
        <v>2.75</v>
      </c>
      <c r="L12" s="13">
        <f t="shared" si="1"/>
        <v>1.04</v>
      </c>
      <c r="N12" s="5"/>
      <c r="O12" s="5"/>
      <c r="Q12" s="15">
        <f t="shared" si="2"/>
        <v>9</v>
      </c>
      <c r="R12" s="15">
        <f t="shared" si="3"/>
        <v>0.49999999999998579</v>
      </c>
    </row>
    <row r="13" spans="1:18" x14ac:dyDescent="0.25">
      <c r="A13" s="55"/>
      <c r="B13" s="56"/>
      <c r="C13" s="5" t="s">
        <v>21</v>
      </c>
      <c r="D13" s="4">
        <v>110</v>
      </c>
      <c r="E13" s="4">
        <f>INPUT!D72</f>
        <v>5</v>
      </c>
      <c r="F13" s="9">
        <f>INPUT!F72</f>
        <v>4586</v>
      </c>
      <c r="G13" s="15">
        <f t="shared" si="0"/>
        <v>5044.6000000000004</v>
      </c>
      <c r="H13" s="12">
        <f>INPUT!G72</f>
        <v>2704</v>
      </c>
      <c r="I13" s="13">
        <f>INPUT!J72</f>
        <v>58.96</v>
      </c>
      <c r="J13" s="13">
        <f>INPUT!Q11</f>
        <v>2.79</v>
      </c>
      <c r="K13" s="4">
        <f>INPUT!K72</f>
        <v>2.95</v>
      </c>
      <c r="L13" s="13">
        <f t="shared" si="1"/>
        <v>0.16000000000000014</v>
      </c>
      <c r="N13" s="5"/>
      <c r="O13" s="5"/>
      <c r="Q13" s="15">
        <f t="shared" si="2"/>
        <v>-1882</v>
      </c>
      <c r="R13" s="15">
        <f t="shared" si="3"/>
        <v>-2340.6000000000004</v>
      </c>
    </row>
    <row r="14" spans="1:18" x14ac:dyDescent="0.25">
      <c r="A14" s="55"/>
      <c r="B14" s="56"/>
      <c r="C14" s="5" t="s">
        <v>22</v>
      </c>
      <c r="D14" s="4">
        <v>110</v>
      </c>
      <c r="E14" s="4">
        <f>INPUT!D73</f>
        <v>5</v>
      </c>
      <c r="F14" s="9">
        <f>INPUT!F73</f>
        <v>296</v>
      </c>
      <c r="G14" s="15">
        <f t="shared" si="0"/>
        <v>325.60000000000002</v>
      </c>
      <c r="H14" s="12">
        <f>INPUT!G73</f>
        <v>284</v>
      </c>
      <c r="I14" s="13">
        <f>INPUT!J73</f>
        <v>95.92</v>
      </c>
      <c r="J14" s="13">
        <f>INPUT!Q12</f>
        <v>4.6399999999999997</v>
      </c>
      <c r="K14" s="4">
        <f>INPUT!K73</f>
        <v>4.8</v>
      </c>
      <c r="L14" s="13">
        <f t="shared" si="1"/>
        <v>0.16000000000000014</v>
      </c>
      <c r="N14" s="5"/>
      <c r="O14" s="5"/>
      <c r="Q14" s="15">
        <f t="shared" si="2"/>
        <v>-12</v>
      </c>
      <c r="R14" s="15">
        <f t="shared" si="3"/>
        <v>-41.600000000000023</v>
      </c>
    </row>
    <row r="15" spans="1:18" x14ac:dyDescent="0.25">
      <c r="A15" s="55">
        <v>5</v>
      </c>
      <c r="B15" s="56" t="s">
        <v>23</v>
      </c>
      <c r="C15" s="5" t="s">
        <v>24</v>
      </c>
      <c r="D15" s="4">
        <v>110</v>
      </c>
      <c r="E15" s="4">
        <f>INPUT!D74</f>
        <v>3</v>
      </c>
      <c r="F15" s="27">
        <f>INPUT!F74</f>
        <v>0.31</v>
      </c>
      <c r="G15" s="24">
        <f>F15-(F15*10%)</f>
        <v>0.27900000000000003</v>
      </c>
      <c r="H15" s="5">
        <f>INPUT!G74</f>
        <v>0.08</v>
      </c>
      <c r="I15" s="13">
        <f>INPUT!J74</f>
        <v>110</v>
      </c>
      <c r="J15" s="13">
        <f>INPUT!Q13</f>
        <v>3.3</v>
      </c>
      <c r="K15" s="4">
        <f>INPUT!K74</f>
        <v>3.3</v>
      </c>
      <c r="L15" s="13">
        <f t="shared" si="1"/>
        <v>0</v>
      </c>
      <c r="N15" s="5"/>
      <c r="O15" s="5"/>
      <c r="Q15" s="24">
        <f>F15-H15</f>
        <v>0.22999999999999998</v>
      </c>
      <c r="R15" s="24">
        <f>G15-H15</f>
        <v>0.19900000000000001</v>
      </c>
    </row>
    <row r="16" spans="1:18" x14ac:dyDescent="0.25">
      <c r="A16" s="55"/>
      <c r="B16" s="56"/>
      <c r="C16" s="5" t="s">
        <v>25</v>
      </c>
      <c r="D16" s="4">
        <v>110</v>
      </c>
      <c r="E16" s="4">
        <f>INPUT!D75</f>
        <v>2</v>
      </c>
      <c r="F16" s="27">
        <f>INPUT!F75</f>
        <v>11.23</v>
      </c>
      <c r="G16" s="24">
        <f t="shared" ref="G16:G20" si="4">F16-(F16*10%)</f>
        <v>10.107000000000001</v>
      </c>
      <c r="H16" s="10">
        <f>INPUT!G75</f>
        <v>3.35</v>
      </c>
      <c r="I16" s="13">
        <f>INPUT!J75</f>
        <v>110</v>
      </c>
      <c r="J16" s="13">
        <f>INPUT!Q14</f>
        <v>2.2000000000000002</v>
      </c>
      <c r="K16" s="4">
        <f>INPUT!K75</f>
        <v>2.2000000000000002</v>
      </c>
      <c r="L16" s="13">
        <f t="shared" si="1"/>
        <v>0</v>
      </c>
      <c r="N16" s="5"/>
      <c r="O16" s="5"/>
      <c r="Q16" s="24">
        <f t="shared" ref="Q16:Q20" si="5">F16-H16</f>
        <v>7.8800000000000008</v>
      </c>
      <c r="R16" s="24">
        <f t="shared" ref="R16:R20" si="6">G16-H16</f>
        <v>6.7570000000000014</v>
      </c>
    </row>
    <row r="17" spans="1:18" x14ac:dyDescent="0.25">
      <c r="A17" s="55"/>
      <c r="B17" s="56"/>
      <c r="C17" s="5" t="s">
        <v>26</v>
      </c>
      <c r="D17" s="4">
        <v>110</v>
      </c>
      <c r="E17" s="4">
        <f>INPUT!D76</f>
        <v>2.5</v>
      </c>
      <c r="F17" s="27">
        <f>INPUT!F76</f>
        <v>0.87</v>
      </c>
      <c r="G17" s="24">
        <f t="shared" si="4"/>
        <v>0.78300000000000003</v>
      </c>
      <c r="H17" s="5">
        <f>INPUT!G76</f>
        <v>0.2</v>
      </c>
      <c r="I17" s="13">
        <f>INPUT!J76</f>
        <v>110</v>
      </c>
      <c r="J17" s="13">
        <f>INPUT!Q15</f>
        <v>2.75</v>
      </c>
      <c r="K17" s="4">
        <f>INPUT!K76</f>
        <v>2.75</v>
      </c>
      <c r="L17" s="13">
        <f t="shared" si="1"/>
        <v>0</v>
      </c>
      <c r="N17" s="5"/>
      <c r="O17" s="5"/>
      <c r="Q17" s="24">
        <f t="shared" si="5"/>
        <v>0.66999999999999993</v>
      </c>
      <c r="R17" s="24">
        <f t="shared" si="6"/>
        <v>0.58299999999999996</v>
      </c>
    </row>
    <row r="18" spans="1:18" x14ac:dyDescent="0.25">
      <c r="A18" s="55"/>
      <c r="B18" s="56"/>
      <c r="C18" s="5" t="s">
        <v>27</v>
      </c>
      <c r="D18" s="4">
        <v>110</v>
      </c>
      <c r="E18" s="4">
        <f>INPUT!D77</f>
        <v>3</v>
      </c>
      <c r="F18" s="27">
        <f>INPUT!F77</f>
        <v>2.75</v>
      </c>
      <c r="G18" s="24">
        <f t="shared" si="4"/>
        <v>2.4750000000000001</v>
      </c>
      <c r="H18" s="5">
        <f>INPUT!G77</f>
        <v>9.41</v>
      </c>
      <c r="I18" s="13">
        <f>INPUT!J77</f>
        <v>29.27</v>
      </c>
      <c r="J18" s="13">
        <f>INPUT!Q16</f>
        <v>1.76</v>
      </c>
      <c r="K18" s="4">
        <f>INPUT!K77</f>
        <v>0.88</v>
      </c>
      <c r="L18" s="13">
        <f t="shared" si="1"/>
        <v>-0.88</v>
      </c>
      <c r="N18" s="5"/>
      <c r="O18" s="5"/>
      <c r="Q18" s="24">
        <f t="shared" si="5"/>
        <v>-6.66</v>
      </c>
      <c r="R18" s="24">
        <f t="shared" si="6"/>
        <v>-6.9350000000000005</v>
      </c>
    </row>
    <row r="19" spans="1:18" x14ac:dyDescent="0.25">
      <c r="A19" s="55"/>
      <c r="B19" s="56"/>
      <c r="C19" s="5" t="s">
        <v>28</v>
      </c>
      <c r="D19" s="4">
        <v>110</v>
      </c>
      <c r="E19" s="4">
        <f>INPUT!D78</f>
        <v>2</v>
      </c>
      <c r="F19" s="27">
        <f>INPUT!F78</f>
        <v>30.9</v>
      </c>
      <c r="G19" s="24">
        <f t="shared" si="4"/>
        <v>27.81</v>
      </c>
      <c r="H19" s="5">
        <f>INPUT!G78</f>
        <v>10.39</v>
      </c>
      <c r="I19" s="13">
        <f>INPUT!J78</f>
        <v>110</v>
      </c>
      <c r="J19" s="13">
        <f>INPUT!Q17</f>
        <v>2.2000000000000002</v>
      </c>
      <c r="K19" s="4">
        <f>INPUT!K78</f>
        <v>2.2000000000000002</v>
      </c>
      <c r="L19" s="13">
        <f t="shared" si="1"/>
        <v>0</v>
      </c>
      <c r="N19" s="5"/>
      <c r="O19" s="5"/>
      <c r="Q19" s="24">
        <f t="shared" si="5"/>
        <v>20.509999999999998</v>
      </c>
      <c r="R19" s="24">
        <f t="shared" si="6"/>
        <v>17.419999999999998</v>
      </c>
    </row>
    <row r="20" spans="1:18" x14ac:dyDescent="0.25">
      <c r="A20" s="55"/>
      <c r="B20" s="56"/>
      <c r="C20" s="5" t="s">
        <v>29</v>
      </c>
      <c r="D20" s="4">
        <v>110</v>
      </c>
      <c r="E20" s="4">
        <f>INPUT!D79</f>
        <v>2.5</v>
      </c>
      <c r="F20" s="27">
        <f>INPUT!F79</f>
        <v>11.04</v>
      </c>
      <c r="G20" s="24">
        <f t="shared" si="4"/>
        <v>9.9359999999999999</v>
      </c>
      <c r="H20" s="5">
        <f>INPUT!G79</f>
        <v>3.62</v>
      </c>
      <c r="I20" s="13">
        <f>INPUT!J79</f>
        <v>110</v>
      </c>
      <c r="J20" s="13">
        <f>INPUT!Q18</f>
        <v>2.75</v>
      </c>
      <c r="K20" s="4">
        <f>INPUT!K79</f>
        <v>2.75</v>
      </c>
      <c r="L20" s="13">
        <f t="shared" si="1"/>
        <v>0</v>
      </c>
      <c r="N20" s="5"/>
      <c r="O20" s="5"/>
      <c r="Q20" s="24">
        <f t="shared" si="5"/>
        <v>7.419999999999999</v>
      </c>
      <c r="R20" s="24">
        <f t="shared" si="6"/>
        <v>6.3159999999999998</v>
      </c>
    </row>
    <row r="21" spans="1:18" x14ac:dyDescent="0.25">
      <c r="A21" s="4">
        <v>6</v>
      </c>
      <c r="B21" s="5" t="s">
        <v>30</v>
      </c>
      <c r="C21" s="20" t="s">
        <v>31</v>
      </c>
      <c r="D21" s="4">
        <v>110</v>
      </c>
      <c r="E21" s="4"/>
      <c r="F21" s="9">
        <f>INPUT!F80</f>
        <v>0</v>
      </c>
      <c r="G21" s="5"/>
      <c r="H21" s="5">
        <f>INPUT!G80</f>
        <v>0</v>
      </c>
      <c r="I21" s="13">
        <f>INPUT!J80</f>
        <v>0</v>
      </c>
      <c r="J21" s="13">
        <f>INPUT!Q19</f>
        <v>0</v>
      </c>
      <c r="K21" s="4">
        <f>INPUT!K80</f>
        <v>0</v>
      </c>
      <c r="L21" s="13">
        <f t="shared" si="1"/>
        <v>0</v>
      </c>
      <c r="N21" s="5"/>
      <c r="O21" s="5"/>
      <c r="Q21" s="15">
        <f t="shared" si="2"/>
        <v>0</v>
      </c>
      <c r="R21" s="15">
        <f t="shared" si="3"/>
        <v>0</v>
      </c>
    </row>
    <row r="22" spans="1:18" x14ac:dyDescent="0.25">
      <c r="A22" s="55">
        <v>7</v>
      </c>
      <c r="B22" s="56" t="s">
        <v>32</v>
      </c>
      <c r="C22" s="26" t="s">
        <v>33</v>
      </c>
      <c r="D22" s="6" t="s">
        <v>54</v>
      </c>
      <c r="E22" s="4">
        <f>INPUT!D81</f>
        <v>2.5</v>
      </c>
      <c r="F22" s="9">
        <f>INPUT!F81</f>
        <v>519</v>
      </c>
      <c r="G22" s="12">
        <f>F22*110%</f>
        <v>570.90000000000009</v>
      </c>
      <c r="H22" s="5">
        <f>INPUT!G81</f>
        <v>243</v>
      </c>
      <c r="I22" s="13">
        <f>INPUT!J81</f>
        <v>46.84</v>
      </c>
      <c r="J22" s="13">
        <f>INPUT!Q20</f>
        <v>1.1399999999999999</v>
      </c>
      <c r="K22" s="4">
        <f>INPUT!K81</f>
        <v>1.17</v>
      </c>
      <c r="L22" s="13">
        <f t="shared" si="1"/>
        <v>3.0000000000000027E-2</v>
      </c>
      <c r="N22" s="5"/>
      <c r="O22" s="5"/>
      <c r="Q22" s="15">
        <f t="shared" si="2"/>
        <v>-276</v>
      </c>
      <c r="R22" s="15">
        <f t="shared" si="3"/>
        <v>-327.90000000000009</v>
      </c>
    </row>
    <row r="23" spans="1:18" x14ac:dyDescent="0.25">
      <c r="A23" s="55"/>
      <c r="B23" s="56"/>
      <c r="C23" s="5" t="s">
        <v>34</v>
      </c>
      <c r="D23" s="4">
        <v>110</v>
      </c>
      <c r="E23" s="4">
        <f>INPUT!D82</f>
        <v>2.5</v>
      </c>
      <c r="F23" s="9">
        <f>INPUT!F82</f>
        <v>2207</v>
      </c>
      <c r="G23" s="12">
        <f>F23*110%</f>
        <v>2427.7000000000003</v>
      </c>
      <c r="H23" s="12">
        <f>INPUT!G82</f>
        <v>1826.5225</v>
      </c>
      <c r="I23" s="13">
        <f>INPUT!J82</f>
        <v>82.76</v>
      </c>
      <c r="J23" s="13">
        <f>INPUT!Q21</f>
        <v>2.0699999999999998</v>
      </c>
      <c r="K23" s="4">
        <f>INPUT!K82</f>
        <v>2.0699999999999998</v>
      </c>
      <c r="L23" s="13">
        <f t="shared" si="1"/>
        <v>0</v>
      </c>
      <c r="N23" s="5"/>
      <c r="O23" s="5"/>
      <c r="Q23" s="15">
        <f t="shared" si="2"/>
        <v>-380.47749999999996</v>
      </c>
      <c r="R23" s="15">
        <f t="shared" si="3"/>
        <v>-601.17750000000024</v>
      </c>
    </row>
    <row r="24" spans="1:18" x14ac:dyDescent="0.25">
      <c r="A24" s="55"/>
      <c r="B24" s="56"/>
      <c r="C24" s="5" t="s">
        <v>35</v>
      </c>
      <c r="D24" s="4">
        <v>110</v>
      </c>
      <c r="E24" s="4">
        <f>INPUT!D83</f>
        <v>5</v>
      </c>
      <c r="F24" s="9">
        <f>INPUT!F83</f>
        <v>1379</v>
      </c>
      <c r="G24" s="12">
        <f t="shared" ref="G24:G30" si="7">F24*110%</f>
        <v>1516.9</v>
      </c>
      <c r="H24" s="12">
        <f>INPUT!G83</f>
        <v>733.5</v>
      </c>
      <c r="I24" s="13">
        <f>INPUT!J83</f>
        <v>53.18</v>
      </c>
      <c r="J24" s="13">
        <f>INPUT!Q22</f>
        <v>2.58</v>
      </c>
      <c r="K24" s="4">
        <f>INPUT!K83</f>
        <v>2.66</v>
      </c>
      <c r="L24" s="13">
        <f t="shared" si="1"/>
        <v>8.0000000000000071E-2</v>
      </c>
      <c r="N24" s="5"/>
      <c r="O24" s="5"/>
      <c r="Q24" s="15">
        <f t="shared" si="2"/>
        <v>-645.5</v>
      </c>
      <c r="R24" s="15">
        <f t="shared" si="3"/>
        <v>-783.40000000000009</v>
      </c>
    </row>
    <row r="25" spans="1:18" x14ac:dyDescent="0.25">
      <c r="A25" s="55">
        <v>8</v>
      </c>
      <c r="B25" s="56" t="s">
        <v>36</v>
      </c>
      <c r="C25" s="5" t="s">
        <v>37</v>
      </c>
      <c r="D25" s="4">
        <v>110</v>
      </c>
      <c r="E25" s="4">
        <f>INPUT!D84</f>
        <v>5</v>
      </c>
      <c r="F25" s="9">
        <f>INPUT!F84</f>
        <v>1038</v>
      </c>
      <c r="G25" s="12">
        <f t="shared" si="7"/>
        <v>1141.8000000000002</v>
      </c>
      <c r="H25" s="12">
        <f>INPUT!G84</f>
        <v>865</v>
      </c>
      <c r="I25" s="13">
        <f>INPUT!J84</f>
        <v>83.37</v>
      </c>
      <c r="J25" s="13">
        <f>INPUT!Q23</f>
        <v>3.99</v>
      </c>
      <c r="K25" s="4">
        <f>INPUT!K84</f>
        <v>4.17</v>
      </c>
      <c r="L25" s="13">
        <f t="shared" si="1"/>
        <v>0.17999999999999972</v>
      </c>
      <c r="N25" s="5"/>
      <c r="O25" s="5"/>
      <c r="Q25" s="15">
        <f t="shared" si="2"/>
        <v>-173</v>
      </c>
      <c r="R25" s="15">
        <f t="shared" si="3"/>
        <v>-276.80000000000018</v>
      </c>
    </row>
    <row r="26" spans="1:18" x14ac:dyDescent="0.25">
      <c r="A26" s="55"/>
      <c r="B26" s="56"/>
      <c r="C26" s="5" t="s">
        <v>38</v>
      </c>
      <c r="D26" s="4">
        <v>110</v>
      </c>
      <c r="E26" s="4">
        <f>INPUT!D85</f>
        <v>5</v>
      </c>
      <c r="F26" s="9">
        <f>INPUT!F85</f>
        <v>789003568</v>
      </c>
      <c r="G26" s="9">
        <f t="shared" si="7"/>
        <v>867903924.80000007</v>
      </c>
      <c r="H26" s="9">
        <f>INPUT!G85</f>
        <v>592281535</v>
      </c>
      <c r="I26" s="13">
        <f>INPUT!J85</f>
        <v>75.069999999999993</v>
      </c>
      <c r="J26" s="13">
        <f>INPUT!Q24</f>
        <v>4</v>
      </c>
      <c r="K26" s="4">
        <f>INPUT!K85</f>
        <v>3.75</v>
      </c>
      <c r="L26" s="13">
        <f t="shared" si="1"/>
        <v>-0.25</v>
      </c>
      <c r="N26" s="5"/>
      <c r="O26" s="5"/>
      <c r="Q26" s="15">
        <f t="shared" si="2"/>
        <v>-196722033</v>
      </c>
      <c r="R26" s="15">
        <f t="shared" si="3"/>
        <v>-275622389.80000007</v>
      </c>
    </row>
    <row r="27" spans="1:18" x14ac:dyDescent="0.25">
      <c r="A27" s="55"/>
      <c r="B27" s="56"/>
      <c r="C27" s="5" t="s">
        <v>39</v>
      </c>
      <c r="D27" s="4">
        <v>110</v>
      </c>
      <c r="E27" s="4">
        <f>INPUT!D86</f>
        <v>5</v>
      </c>
      <c r="F27" s="9">
        <f>INPUT!F86</f>
        <v>14981</v>
      </c>
      <c r="G27" s="12">
        <f t="shared" si="7"/>
        <v>16479.100000000002</v>
      </c>
      <c r="H27" s="12">
        <f>INPUT!G86</f>
        <v>4790</v>
      </c>
      <c r="I27" s="13">
        <f>INPUT!J86</f>
        <v>31.97</v>
      </c>
      <c r="J27" s="13">
        <f>INPUT!Q25</f>
        <v>1.46</v>
      </c>
      <c r="K27" s="4">
        <f>INPUT!K86</f>
        <v>1.6</v>
      </c>
      <c r="L27" s="13">
        <f t="shared" si="1"/>
        <v>0.14000000000000012</v>
      </c>
      <c r="N27" s="5"/>
      <c r="O27" s="5"/>
      <c r="Q27" s="15">
        <f t="shared" si="2"/>
        <v>-10191</v>
      </c>
      <c r="R27" s="15">
        <f t="shared" si="3"/>
        <v>-11689.100000000002</v>
      </c>
    </row>
    <row r="28" spans="1:18" x14ac:dyDescent="0.25">
      <c r="A28" s="55">
        <v>9</v>
      </c>
      <c r="B28" s="56" t="s">
        <v>40</v>
      </c>
      <c r="C28" s="26" t="s">
        <v>41</v>
      </c>
      <c r="D28" s="4">
        <v>110</v>
      </c>
      <c r="E28" s="4">
        <f>INPUT!D87</f>
        <v>2</v>
      </c>
      <c r="F28" s="9">
        <f>INPUT!F87</f>
        <v>78.760000000000005</v>
      </c>
      <c r="G28" s="5">
        <f t="shared" si="7"/>
        <v>86.63600000000001</v>
      </c>
      <c r="H28" s="5">
        <f>INPUT!G87</f>
        <v>78</v>
      </c>
      <c r="I28" s="13">
        <f>INPUT!J87</f>
        <v>99.04</v>
      </c>
      <c r="J28" s="13">
        <f>INPUT!Q26</f>
        <v>1.96</v>
      </c>
      <c r="K28" s="4">
        <f>INPUT!K87</f>
        <v>1.98</v>
      </c>
      <c r="L28" s="13">
        <f t="shared" si="1"/>
        <v>2.0000000000000018E-2</v>
      </c>
      <c r="N28" s="5"/>
      <c r="O28" s="5"/>
      <c r="Q28" s="15">
        <f t="shared" si="2"/>
        <v>-0.76000000000000512</v>
      </c>
      <c r="R28" s="15">
        <f t="shared" si="3"/>
        <v>-8.6360000000000099</v>
      </c>
    </row>
    <row r="29" spans="1:18" x14ac:dyDescent="0.25">
      <c r="A29" s="55"/>
      <c r="B29" s="56"/>
      <c r="C29" s="5" t="s">
        <v>42</v>
      </c>
      <c r="D29" s="4">
        <v>110</v>
      </c>
      <c r="E29" s="4">
        <f>INPUT!D88</f>
        <v>1.5</v>
      </c>
      <c r="F29" s="9">
        <f>INPUT!F88</f>
        <v>89612005</v>
      </c>
      <c r="G29" s="9">
        <f t="shared" si="7"/>
        <v>98573205.500000015</v>
      </c>
      <c r="H29" s="5">
        <f>INPUT!G88</f>
        <v>10389442</v>
      </c>
      <c r="I29" s="13">
        <f>INPUT!J88</f>
        <v>11.59</v>
      </c>
      <c r="J29" s="13">
        <f>INPUT!Q27</f>
        <v>0.18</v>
      </c>
      <c r="K29" s="4">
        <f>INPUT!K88</f>
        <v>0.17</v>
      </c>
      <c r="L29" s="13">
        <f t="shared" si="1"/>
        <v>-9.9999999999999811E-3</v>
      </c>
      <c r="N29" s="5"/>
      <c r="O29" s="5"/>
      <c r="Q29" s="15">
        <f t="shared" si="2"/>
        <v>-79222563</v>
      </c>
      <c r="R29" s="15">
        <f t="shared" si="3"/>
        <v>-88183763.500000015</v>
      </c>
    </row>
    <row r="30" spans="1:18" x14ac:dyDescent="0.25">
      <c r="A30" s="55"/>
      <c r="B30" s="56"/>
      <c r="C30" s="5" t="s">
        <v>43</v>
      </c>
      <c r="D30" s="4">
        <v>110</v>
      </c>
      <c r="E30" s="4">
        <f>INPUT!D89</f>
        <v>1.5</v>
      </c>
      <c r="F30" s="9">
        <f>INPUT!F89</f>
        <v>261</v>
      </c>
      <c r="G30" s="12">
        <f t="shared" si="7"/>
        <v>287.10000000000002</v>
      </c>
      <c r="H30" s="16">
        <f>INPUT!G89</f>
        <v>72.7136</v>
      </c>
      <c r="I30" s="13">
        <f>INPUT!J89</f>
        <v>27.89</v>
      </c>
      <c r="J30" s="13">
        <f>INPUT!Q28</f>
        <v>0.42</v>
      </c>
      <c r="K30" s="4">
        <f>INPUT!K89</f>
        <v>0.42</v>
      </c>
      <c r="L30" s="13">
        <f t="shared" si="1"/>
        <v>0</v>
      </c>
      <c r="N30" s="5"/>
      <c r="O30" s="5"/>
      <c r="Q30" s="15">
        <f t="shared" si="2"/>
        <v>-188.28640000000001</v>
      </c>
      <c r="R30" s="15">
        <f t="shared" si="3"/>
        <v>-214.38640000000004</v>
      </c>
    </row>
    <row r="31" spans="1:18" x14ac:dyDescent="0.25">
      <c r="A31" s="4">
        <v>10</v>
      </c>
      <c r="B31" s="5" t="s">
        <v>44</v>
      </c>
      <c r="C31" s="5" t="s">
        <v>44</v>
      </c>
      <c r="D31" s="4"/>
      <c r="E31" s="4"/>
      <c r="F31" s="9">
        <f>INPUT!F90</f>
        <v>1686407864</v>
      </c>
      <c r="G31" s="5"/>
      <c r="H31" s="9">
        <f>INPUT!G90</f>
        <v>1316611637</v>
      </c>
      <c r="I31" s="13">
        <f>INPUT!J90</f>
        <v>78.069999999999993</v>
      </c>
      <c r="J31" s="13">
        <f>INPUT!Q29</f>
        <v>0</v>
      </c>
      <c r="K31" s="4">
        <f>INPUT!K90</f>
        <v>0</v>
      </c>
      <c r="L31" s="13">
        <f t="shared" si="1"/>
        <v>0</v>
      </c>
      <c r="N31" s="5"/>
      <c r="O31" s="5"/>
      <c r="Q31" s="15"/>
      <c r="R31" s="15"/>
    </row>
    <row r="32" spans="1:18" x14ac:dyDescent="0.25">
      <c r="A32" s="58" t="s">
        <v>53</v>
      </c>
      <c r="B32" s="58"/>
      <c r="C32" s="8"/>
      <c r="D32" s="7"/>
      <c r="E32" s="7">
        <f>SUM(E5:E31)</f>
        <v>100</v>
      </c>
      <c r="F32" s="8"/>
      <c r="G32" s="8"/>
      <c r="H32" s="8"/>
      <c r="I32" s="21"/>
      <c r="J32" s="21">
        <f>SUM(J5:J31)</f>
        <v>78.289999999999992</v>
      </c>
      <c r="K32" s="7">
        <f>SUM(K5:K31)</f>
        <v>79.25</v>
      </c>
      <c r="L32" s="23">
        <f>SUM(L5:L31)</f>
        <v>0.96000000000000019</v>
      </c>
      <c r="N32" s="14"/>
      <c r="O32" s="14"/>
      <c r="Q32" s="5"/>
      <c r="R32" s="5"/>
    </row>
  </sheetData>
  <sheetProtection algorithmName="SHA-512" hashValue="GZWw1ktKg6G3fhVtDEmP1zQ3NQUJ23xvcpqi4jxR/qRoLS2v8XccpKS4Q25pMrrR0RKPp59O/KKNb/aKO9WUgw==" saltValue="LsGhQZelmtd7Wv1N1vyqKQ==" spinCount="100000" sheet="1" objects="1" scenarios="1"/>
  <mergeCells count="27">
    <mergeCell ref="Q3:R3"/>
    <mergeCell ref="N3:O3"/>
    <mergeCell ref="A28:A30"/>
    <mergeCell ref="B28:B30"/>
    <mergeCell ref="A32:B32"/>
    <mergeCell ref="F3:G3"/>
    <mergeCell ref="H3:H4"/>
    <mergeCell ref="A15:A20"/>
    <mergeCell ref="B15:B20"/>
    <mergeCell ref="A22:A24"/>
    <mergeCell ref="B22:B24"/>
    <mergeCell ref="A25:A27"/>
    <mergeCell ref="B25:B27"/>
    <mergeCell ref="J3:K3"/>
    <mergeCell ref="L3:L4"/>
    <mergeCell ref="A5:A8"/>
    <mergeCell ref="B5:B8"/>
    <mergeCell ref="A11:A14"/>
    <mergeCell ref="B11:B14"/>
    <mergeCell ref="A1:L1"/>
    <mergeCell ref="A2:L2"/>
    <mergeCell ref="A3:A4"/>
    <mergeCell ref="B3:B4"/>
    <mergeCell ref="C3:C4"/>
    <mergeCell ref="D3:D4"/>
    <mergeCell ref="E3:E4"/>
    <mergeCell ref="I3:I4"/>
  </mergeCells>
  <conditionalFormatting sqref="I5:I31">
    <cfRule type="cellIs" dxfId="36" priority="1" operator="lessThan">
      <formula>100</formula>
    </cfRule>
    <cfRule type="cellIs" dxfId="35" priority="2" operator="greaterThan">
      <formula>100</formula>
    </cfRule>
  </conditionalFormatting>
  <conditionalFormatting sqref="L5:L32">
    <cfRule type="cellIs" dxfId="34" priority="5" operator="lessThan">
      <formula>0</formula>
    </cfRule>
    <cfRule type="cellIs" dxfId="33" priority="6" operator="greaterThan">
      <formula>0</formula>
    </cfRule>
  </conditionalFormatting>
  <conditionalFormatting sqref="Q5:R30">
    <cfRule type="cellIs" dxfId="32" priority="3" operator="lessThan">
      <formula>0</formula>
    </cfRule>
    <cfRule type="cellIs" dxfId="31" priority="4" operator="greaterThan">
      <formula>0</formula>
    </cfRule>
  </conditionalFormatting>
  <pageMargins left="0.35433070866141736" right="0.11811023622047245" top="0.74803149606299213" bottom="0.74803149606299213" header="0.31496062992125984" footer="0.31496062992125984"/>
  <pageSetup paperSize="5" scale="7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751B7-8291-456B-816F-64891EEFFF83}">
  <dimension ref="A1:R32"/>
  <sheetViews>
    <sheetView view="pageBreakPreview" topLeftCell="I1" zoomScale="60" zoomScaleNormal="104" workbookViewId="0">
      <selection activeCell="V15" sqref="V15"/>
    </sheetView>
  </sheetViews>
  <sheetFormatPr defaultRowHeight="15" x14ac:dyDescent="0.25"/>
  <cols>
    <col min="1" max="1" width="3.42578125" bestFit="1" customWidth="1"/>
    <col min="2" max="2" width="24.85546875" bestFit="1" customWidth="1"/>
    <col min="3" max="3" width="28.5703125" customWidth="1"/>
    <col min="4" max="4" width="8.85546875" bestFit="1" customWidth="1"/>
    <col min="5" max="5" width="10" bestFit="1" customWidth="1"/>
    <col min="6" max="6" width="17.28515625" bestFit="1" customWidth="1"/>
    <col min="7" max="7" width="16.28515625" bestFit="1" customWidth="1"/>
    <col min="8" max="8" width="15.28515625" bestFit="1" customWidth="1"/>
    <col min="9" max="9" width="10" style="2" customWidth="1"/>
    <col min="10" max="10" width="11.42578125" style="2" customWidth="1"/>
    <col min="11" max="11" width="11.42578125" customWidth="1"/>
    <col min="12" max="12" width="14" bestFit="1" customWidth="1"/>
    <col min="13" max="13" width="3.7109375" customWidth="1"/>
    <col min="16" max="16" width="3.7109375" customWidth="1"/>
    <col min="17" max="17" width="14.42578125" customWidth="1"/>
    <col min="18" max="18" width="14.42578125" bestFit="1" customWidth="1"/>
  </cols>
  <sheetData>
    <row r="1" spans="1:18" x14ac:dyDescent="0.25">
      <c r="A1" s="59" t="s">
        <v>73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1:18" x14ac:dyDescent="0.25">
      <c r="A2" s="65">
        <f>KONSOL!A2</f>
        <v>46178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8" ht="19.5" customHeight="1" x14ac:dyDescent="0.25">
      <c r="A3" s="57" t="s">
        <v>0</v>
      </c>
      <c r="B3" s="57" t="s">
        <v>1</v>
      </c>
      <c r="C3" s="57" t="s">
        <v>2</v>
      </c>
      <c r="D3" s="57" t="s">
        <v>46</v>
      </c>
      <c r="E3" s="57" t="s">
        <v>3</v>
      </c>
      <c r="F3" s="61" t="s">
        <v>51</v>
      </c>
      <c r="G3" s="62"/>
      <c r="H3" s="63" t="s">
        <v>6</v>
      </c>
      <c r="I3" s="57" t="s">
        <v>55</v>
      </c>
      <c r="J3" s="57" t="s">
        <v>52</v>
      </c>
      <c r="K3" s="57"/>
      <c r="L3" s="57" t="s">
        <v>50</v>
      </c>
      <c r="M3" s="2"/>
      <c r="N3" s="58" t="s">
        <v>58</v>
      </c>
      <c r="O3" s="58"/>
      <c r="Q3" s="58" t="s">
        <v>61</v>
      </c>
      <c r="R3" s="58"/>
    </row>
    <row r="4" spans="1:18" ht="19.5" customHeight="1" x14ac:dyDescent="0.25">
      <c r="A4" s="57"/>
      <c r="B4" s="57"/>
      <c r="C4" s="57"/>
      <c r="D4" s="57"/>
      <c r="E4" s="57"/>
      <c r="F4" s="3" t="s">
        <v>47</v>
      </c>
      <c r="G4" s="3" t="s">
        <v>48</v>
      </c>
      <c r="H4" s="64"/>
      <c r="I4" s="57"/>
      <c r="J4" s="3" t="s">
        <v>57</v>
      </c>
      <c r="K4" s="3" t="s">
        <v>49</v>
      </c>
      <c r="L4" s="57"/>
      <c r="M4" s="2"/>
      <c r="N4" s="7" t="s">
        <v>59</v>
      </c>
      <c r="O4" s="7" t="s">
        <v>60</v>
      </c>
      <c r="Q4" s="7" t="s">
        <v>47</v>
      </c>
      <c r="R4" s="7" t="s">
        <v>48</v>
      </c>
    </row>
    <row r="5" spans="1:18" x14ac:dyDescent="0.25">
      <c r="A5" s="55">
        <v>1</v>
      </c>
      <c r="B5" s="56" t="s">
        <v>11</v>
      </c>
      <c r="C5" s="5" t="s">
        <v>12</v>
      </c>
      <c r="D5" s="6" t="s">
        <v>54</v>
      </c>
      <c r="E5" s="4">
        <f>INPUT!D94</f>
        <v>12.5</v>
      </c>
      <c r="F5" s="9">
        <f>INPUT!F94</f>
        <v>12177450584</v>
      </c>
      <c r="G5" s="15">
        <f>F5*110%</f>
        <v>13395195642.400002</v>
      </c>
      <c r="H5" s="9">
        <f>INPUT!G94</f>
        <v>13725362812</v>
      </c>
      <c r="I5" s="13">
        <f>INPUT!J94</f>
        <v>112.71</v>
      </c>
      <c r="J5" s="13">
        <f>INPUT!R3</f>
        <v>13.97</v>
      </c>
      <c r="K5" s="4">
        <f>INPUT!K94</f>
        <v>14.09</v>
      </c>
      <c r="L5" s="4">
        <f>K5-J5</f>
        <v>0.11999999999999922</v>
      </c>
      <c r="N5" s="5"/>
      <c r="O5" s="5"/>
      <c r="Q5" s="15">
        <f>H5-F5</f>
        <v>1547912228</v>
      </c>
      <c r="R5" s="15">
        <f>H5-G5</f>
        <v>330167169.59999847</v>
      </c>
    </row>
    <row r="6" spans="1:18" x14ac:dyDescent="0.25">
      <c r="A6" s="55"/>
      <c r="B6" s="56"/>
      <c r="C6" s="20" t="s">
        <v>13</v>
      </c>
      <c r="D6" s="4">
        <v>110</v>
      </c>
      <c r="E6" s="4"/>
      <c r="F6" s="9">
        <f>INPUT!F95</f>
        <v>413851412</v>
      </c>
      <c r="G6" s="15">
        <f t="shared" ref="G6:G14" si="0">F6*110%</f>
        <v>455236553.20000005</v>
      </c>
      <c r="H6" s="9">
        <f>INPUT!G95</f>
        <v>632354151</v>
      </c>
      <c r="I6" s="13">
        <f>INPUT!J95</f>
        <v>0</v>
      </c>
      <c r="J6" s="13">
        <v>0</v>
      </c>
      <c r="K6" s="4">
        <f>INPUT!K95</f>
        <v>0</v>
      </c>
      <c r="L6" s="4">
        <f t="shared" ref="L6:L31" si="1">K6-J6</f>
        <v>0</v>
      </c>
      <c r="N6" s="5"/>
      <c r="O6" s="5"/>
      <c r="Q6" s="15">
        <f t="shared" ref="Q6:Q30" si="2">H6-F6</f>
        <v>218502739</v>
      </c>
      <c r="R6" s="15">
        <f t="shared" ref="R6:R30" si="3">H6-G6</f>
        <v>177117597.79999995</v>
      </c>
    </row>
    <row r="7" spans="1:18" x14ac:dyDescent="0.25">
      <c r="A7" s="55"/>
      <c r="B7" s="56"/>
      <c r="C7" s="5" t="s">
        <v>14</v>
      </c>
      <c r="D7" s="6" t="s">
        <v>54</v>
      </c>
      <c r="E7" s="4">
        <f>INPUT!D96</f>
        <v>10</v>
      </c>
      <c r="F7" s="9">
        <f>INPUT!F96</f>
        <v>1692515292</v>
      </c>
      <c r="G7" s="15">
        <f t="shared" si="0"/>
        <v>1861766821.2</v>
      </c>
      <c r="H7" s="9">
        <f>INPUT!G96</f>
        <v>1687699008</v>
      </c>
      <c r="I7" s="13">
        <f>INPUT!J96</f>
        <v>99.72</v>
      </c>
      <c r="J7" s="13">
        <f>INPUT!R5</f>
        <v>9.77</v>
      </c>
      <c r="K7" s="4">
        <f>INPUT!K96</f>
        <v>9.9700000000000006</v>
      </c>
      <c r="L7" s="4">
        <f t="shared" si="1"/>
        <v>0.20000000000000107</v>
      </c>
      <c r="N7" s="5"/>
      <c r="O7" s="5"/>
      <c r="Q7" s="15">
        <f t="shared" si="2"/>
        <v>-4816284</v>
      </c>
      <c r="R7" s="15">
        <f t="shared" si="3"/>
        <v>-174067813.20000005</v>
      </c>
    </row>
    <row r="8" spans="1:18" x14ac:dyDescent="0.25">
      <c r="A8" s="55"/>
      <c r="B8" s="56"/>
      <c r="C8" s="5" t="s">
        <v>15</v>
      </c>
      <c r="D8" s="4">
        <v>110</v>
      </c>
      <c r="E8" s="4">
        <f>INPUT!D97</f>
        <v>5</v>
      </c>
      <c r="F8" s="9">
        <f>INPUT!F97</f>
        <v>14629108298</v>
      </c>
      <c r="G8" s="15">
        <f t="shared" si="0"/>
        <v>16092019127.800001</v>
      </c>
      <c r="H8" s="9">
        <f>INPUT!G97</f>
        <v>17313521531</v>
      </c>
      <c r="I8" s="13">
        <f>INPUT!J97</f>
        <v>110</v>
      </c>
      <c r="J8" s="13">
        <f>INPUT!R6</f>
        <v>5.5</v>
      </c>
      <c r="K8" s="4">
        <f>INPUT!K97</f>
        <v>5.5</v>
      </c>
      <c r="L8" s="4">
        <f t="shared" si="1"/>
        <v>0</v>
      </c>
      <c r="N8" s="5"/>
      <c r="O8" s="5"/>
      <c r="Q8" s="15">
        <f t="shared" si="2"/>
        <v>2684413233</v>
      </c>
      <c r="R8" s="15">
        <f t="shared" si="3"/>
        <v>1221502403.1999989</v>
      </c>
    </row>
    <row r="9" spans="1:18" x14ac:dyDescent="0.25">
      <c r="A9" s="4">
        <v>2</v>
      </c>
      <c r="B9" s="5" t="s">
        <v>16</v>
      </c>
      <c r="C9" s="5" t="s">
        <v>16</v>
      </c>
      <c r="D9" s="4">
        <v>110</v>
      </c>
      <c r="E9" s="4">
        <f>INPUT!D98</f>
        <v>10</v>
      </c>
      <c r="F9" s="9">
        <f>INPUT!F98</f>
        <v>2440995247</v>
      </c>
      <c r="G9" s="15">
        <f t="shared" si="0"/>
        <v>2685094771.7000003</v>
      </c>
      <c r="H9" s="9">
        <f>INPUT!G98</f>
        <v>997877898.8635</v>
      </c>
      <c r="I9" s="13">
        <f>INPUT!J98</f>
        <v>40.880000000000003</v>
      </c>
      <c r="J9" s="13">
        <f>INPUT!R7</f>
        <v>4.09</v>
      </c>
      <c r="K9" s="4">
        <f>INPUT!K98</f>
        <v>4.09</v>
      </c>
      <c r="L9" s="4">
        <f t="shared" si="1"/>
        <v>0</v>
      </c>
      <c r="N9" s="5"/>
      <c r="O9" s="5"/>
      <c r="Q9" s="15">
        <f t="shared" si="2"/>
        <v>-1443117348.1364999</v>
      </c>
      <c r="R9" s="15">
        <f t="shared" si="3"/>
        <v>-1687216872.8365002</v>
      </c>
    </row>
    <row r="10" spans="1:18" x14ac:dyDescent="0.25">
      <c r="A10" s="4">
        <v>3</v>
      </c>
      <c r="B10" s="5" t="s">
        <v>17</v>
      </c>
      <c r="C10" s="20" t="s">
        <v>17</v>
      </c>
      <c r="D10" s="4">
        <v>110</v>
      </c>
      <c r="E10" s="4"/>
      <c r="F10" s="9">
        <f>INPUT!F99</f>
        <v>0</v>
      </c>
      <c r="G10" s="15">
        <f t="shared" si="0"/>
        <v>0</v>
      </c>
      <c r="H10" s="5"/>
      <c r="I10" s="13">
        <f>INPUT!J99</f>
        <v>0</v>
      </c>
      <c r="J10" s="13">
        <f>INPUT!R8</f>
        <v>0</v>
      </c>
      <c r="K10" s="4">
        <f>INPUT!K99</f>
        <v>0</v>
      </c>
      <c r="L10" s="4">
        <f t="shared" si="1"/>
        <v>0</v>
      </c>
      <c r="N10" s="5"/>
      <c r="O10" s="5"/>
      <c r="Q10" s="15">
        <f t="shared" si="2"/>
        <v>0</v>
      </c>
      <c r="R10" s="15">
        <f t="shared" si="3"/>
        <v>0</v>
      </c>
    </row>
    <row r="11" spans="1:18" x14ac:dyDescent="0.25">
      <c r="A11" s="55">
        <v>4</v>
      </c>
      <c r="B11" s="56" t="s">
        <v>18</v>
      </c>
      <c r="C11" s="5" t="s">
        <v>19</v>
      </c>
      <c r="D11" s="4">
        <v>110</v>
      </c>
      <c r="E11" s="4">
        <f>INPUT!D100</f>
        <v>5</v>
      </c>
      <c r="F11" s="9">
        <f>INPUT!F100</f>
        <v>1416</v>
      </c>
      <c r="G11" s="15">
        <f t="shared" si="0"/>
        <v>1557.6000000000001</v>
      </c>
      <c r="H11" s="12">
        <f>INPUT!G100</f>
        <v>588</v>
      </c>
      <c r="I11" s="13">
        <f>INPUT!J100</f>
        <v>41.53</v>
      </c>
      <c r="J11" s="13">
        <f>INPUT!R9</f>
        <v>1.51</v>
      </c>
      <c r="K11" s="4">
        <f>INPUT!K100</f>
        <v>2.08</v>
      </c>
      <c r="L11" s="4">
        <f t="shared" si="1"/>
        <v>0.57000000000000006</v>
      </c>
      <c r="N11" s="5"/>
      <c r="O11" s="5"/>
      <c r="Q11" s="15">
        <f t="shared" si="2"/>
        <v>-828</v>
      </c>
      <c r="R11" s="15">
        <f t="shared" si="3"/>
        <v>-969.60000000000014</v>
      </c>
    </row>
    <row r="12" spans="1:18" x14ac:dyDescent="0.25">
      <c r="A12" s="55"/>
      <c r="B12" s="56"/>
      <c r="C12" s="5" t="s">
        <v>20</v>
      </c>
      <c r="D12" s="4">
        <v>110</v>
      </c>
      <c r="E12" s="4">
        <f>INPUT!D101</f>
        <v>2.5</v>
      </c>
      <c r="F12" s="9">
        <f>INPUT!F101</f>
        <v>75</v>
      </c>
      <c r="G12" s="15">
        <f t="shared" si="0"/>
        <v>82.5</v>
      </c>
      <c r="H12" s="12">
        <f>INPUT!G101</f>
        <v>76</v>
      </c>
      <c r="I12" s="13">
        <f>INPUT!J101</f>
        <v>101.96</v>
      </c>
      <c r="J12" s="13">
        <f>INPUT!R10</f>
        <v>1.98</v>
      </c>
      <c r="K12" s="4">
        <f>INPUT!K101</f>
        <v>2.5499999999999998</v>
      </c>
      <c r="L12" s="4">
        <f t="shared" si="1"/>
        <v>0.56999999999999984</v>
      </c>
      <c r="N12" s="5"/>
      <c r="O12" s="5"/>
      <c r="Q12" s="15">
        <f t="shared" si="2"/>
        <v>1</v>
      </c>
      <c r="R12" s="15">
        <f t="shared" si="3"/>
        <v>-6.5</v>
      </c>
    </row>
    <row r="13" spans="1:18" x14ac:dyDescent="0.25">
      <c r="A13" s="55"/>
      <c r="B13" s="56"/>
      <c r="C13" s="5" t="s">
        <v>21</v>
      </c>
      <c r="D13" s="4">
        <v>110</v>
      </c>
      <c r="E13" s="4">
        <f>INPUT!D102</f>
        <v>5</v>
      </c>
      <c r="F13" s="9">
        <f>INPUT!F102</f>
        <v>4133</v>
      </c>
      <c r="G13" s="15">
        <f t="shared" si="0"/>
        <v>4546.3</v>
      </c>
      <c r="H13" s="12">
        <f>INPUT!G102</f>
        <v>2806</v>
      </c>
      <c r="I13" s="13">
        <f>INPUT!J102</f>
        <v>67.88</v>
      </c>
      <c r="J13" s="13">
        <f>INPUT!R11</f>
        <v>3.16</v>
      </c>
      <c r="K13" s="4">
        <f>INPUT!K102</f>
        <v>3.39</v>
      </c>
      <c r="L13" s="4">
        <f t="shared" si="1"/>
        <v>0.22999999999999998</v>
      </c>
      <c r="N13" s="5"/>
      <c r="O13" s="5"/>
      <c r="Q13" s="15">
        <f t="shared" si="2"/>
        <v>-1327</v>
      </c>
      <c r="R13" s="15">
        <f t="shared" si="3"/>
        <v>-1740.3000000000002</v>
      </c>
    </row>
    <row r="14" spans="1:18" x14ac:dyDescent="0.25">
      <c r="A14" s="55"/>
      <c r="B14" s="56"/>
      <c r="C14" s="5" t="s">
        <v>22</v>
      </c>
      <c r="D14" s="4">
        <v>110</v>
      </c>
      <c r="E14" s="4">
        <f>INPUT!D103</f>
        <v>5</v>
      </c>
      <c r="F14" s="9">
        <f>INPUT!F103</f>
        <v>252</v>
      </c>
      <c r="G14" s="15">
        <f t="shared" si="0"/>
        <v>277.20000000000005</v>
      </c>
      <c r="H14" s="12">
        <f>INPUT!G103</f>
        <v>246</v>
      </c>
      <c r="I14" s="13">
        <f>INPUT!J103</f>
        <v>97.71</v>
      </c>
      <c r="J14" s="13">
        <f>INPUT!R12</f>
        <v>4.96</v>
      </c>
      <c r="K14" s="4">
        <f>INPUT!K103</f>
        <v>4.8899999999999997</v>
      </c>
      <c r="L14" s="4">
        <f t="shared" si="1"/>
        <v>-7.0000000000000284E-2</v>
      </c>
      <c r="N14" s="5"/>
      <c r="O14" s="5"/>
      <c r="Q14" s="15">
        <f t="shared" si="2"/>
        <v>-6</v>
      </c>
      <c r="R14" s="15">
        <f t="shared" si="3"/>
        <v>-31.200000000000045</v>
      </c>
    </row>
    <row r="15" spans="1:18" x14ac:dyDescent="0.25">
      <c r="A15" s="55">
        <v>5</v>
      </c>
      <c r="B15" s="56" t="s">
        <v>23</v>
      </c>
      <c r="C15" s="5" t="s">
        <v>24</v>
      </c>
      <c r="D15" s="4">
        <v>110</v>
      </c>
      <c r="E15" s="4">
        <f>INPUT!D104</f>
        <v>3</v>
      </c>
      <c r="F15" s="27">
        <f>INPUT!F104</f>
        <v>0.31</v>
      </c>
      <c r="G15" s="10">
        <f>F15-(F15*10%)</f>
        <v>0.27900000000000003</v>
      </c>
      <c r="H15" s="5">
        <f>INPUT!G104</f>
        <v>0.14000000000000001</v>
      </c>
      <c r="I15" s="13">
        <f>INPUT!J104</f>
        <v>110</v>
      </c>
      <c r="J15" s="13">
        <f>INPUT!R13</f>
        <v>3.3</v>
      </c>
      <c r="K15" s="4">
        <f>INPUT!K104</f>
        <v>3.3</v>
      </c>
      <c r="L15" s="4">
        <f t="shared" si="1"/>
        <v>0</v>
      </c>
      <c r="N15" s="5"/>
      <c r="O15" s="5"/>
      <c r="Q15" s="24">
        <f>F15-H15</f>
        <v>0.16999999999999998</v>
      </c>
      <c r="R15" s="24">
        <f>G15-H15</f>
        <v>0.13900000000000001</v>
      </c>
    </row>
    <row r="16" spans="1:18" x14ac:dyDescent="0.25">
      <c r="A16" s="55"/>
      <c r="B16" s="56"/>
      <c r="C16" s="5" t="s">
        <v>25</v>
      </c>
      <c r="D16" s="4">
        <v>110</v>
      </c>
      <c r="E16" s="4">
        <f>INPUT!D105</f>
        <v>2</v>
      </c>
      <c r="F16" s="27">
        <f>INPUT!F105</f>
        <v>10.61</v>
      </c>
      <c r="G16" s="10">
        <f t="shared" ref="G16:G20" si="4">F16-(F16*10%)</f>
        <v>9.5489999999999995</v>
      </c>
      <c r="H16" s="5">
        <f>INPUT!G105</f>
        <v>3.29</v>
      </c>
      <c r="I16" s="13">
        <f>INPUT!J105</f>
        <v>110</v>
      </c>
      <c r="J16" s="13">
        <f>INPUT!R14</f>
        <v>2.2000000000000002</v>
      </c>
      <c r="K16" s="4">
        <f>INPUT!K105</f>
        <v>2.2000000000000002</v>
      </c>
      <c r="L16" s="4">
        <f t="shared" si="1"/>
        <v>0</v>
      </c>
      <c r="N16" s="5"/>
      <c r="O16" s="5"/>
      <c r="Q16" s="24">
        <f t="shared" ref="Q16:Q20" si="5">F16-H16</f>
        <v>7.3199999999999994</v>
      </c>
      <c r="R16" s="24">
        <f t="shared" ref="R16:R20" si="6">G16-H16</f>
        <v>6.2589999999999995</v>
      </c>
    </row>
    <row r="17" spans="1:18" x14ac:dyDescent="0.25">
      <c r="A17" s="55"/>
      <c r="B17" s="56"/>
      <c r="C17" s="5" t="s">
        <v>26</v>
      </c>
      <c r="D17" s="4">
        <v>110</v>
      </c>
      <c r="E17" s="4">
        <f>INPUT!D106</f>
        <v>2.5</v>
      </c>
      <c r="F17" s="27">
        <f>INPUT!F106</f>
        <v>0.87</v>
      </c>
      <c r="G17" s="10">
        <f t="shared" si="4"/>
        <v>0.78300000000000003</v>
      </c>
      <c r="H17" s="5">
        <f>INPUT!G106</f>
        <v>0.67</v>
      </c>
      <c r="I17" s="13">
        <f>INPUT!J106</f>
        <v>110</v>
      </c>
      <c r="J17" s="13">
        <f>INPUT!R15</f>
        <v>2.75</v>
      </c>
      <c r="K17" s="4">
        <f>INPUT!K106</f>
        <v>2.75</v>
      </c>
      <c r="L17" s="4">
        <f t="shared" si="1"/>
        <v>0</v>
      </c>
      <c r="N17" s="5"/>
      <c r="O17" s="5"/>
      <c r="Q17" s="24">
        <f t="shared" si="5"/>
        <v>0.19999999999999996</v>
      </c>
      <c r="R17" s="24">
        <f t="shared" si="6"/>
        <v>0.11299999999999999</v>
      </c>
    </row>
    <row r="18" spans="1:18" x14ac:dyDescent="0.25">
      <c r="A18" s="55"/>
      <c r="B18" s="56"/>
      <c r="C18" s="5" t="s">
        <v>27</v>
      </c>
      <c r="D18" s="4">
        <v>110</v>
      </c>
      <c r="E18" s="4">
        <f>INPUT!D107</f>
        <v>3</v>
      </c>
      <c r="F18" s="27">
        <f>INPUT!F107</f>
        <v>2.75</v>
      </c>
      <c r="G18" s="10">
        <f t="shared" si="4"/>
        <v>2.4750000000000001</v>
      </c>
      <c r="H18" s="5">
        <f>INPUT!G107</f>
        <v>6.82</v>
      </c>
      <c r="I18" s="13">
        <f>INPUT!J107</f>
        <v>40.380000000000003</v>
      </c>
      <c r="J18" s="13">
        <f>INPUT!R16</f>
        <v>2.89</v>
      </c>
      <c r="K18" s="4">
        <f>INPUT!K107</f>
        <v>1.21</v>
      </c>
      <c r="L18" s="4">
        <f t="shared" si="1"/>
        <v>-1.6800000000000002</v>
      </c>
      <c r="N18" s="5"/>
      <c r="O18" s="5"/>
      <c r="Q18" s="24">
        <f t="shared" si="5"/>
        <v>-4.07</v>
      </c>
      <c r="R18" s="24">
        <f t="shared" si="6"/>
        <v>-4.3450000000000006</v>
      </c>
    </row>
    <row r="19" spans="1:18" x14ac:dyDescent="0.25">
      <c r="A19" s="55"/>
      <c r="B19" s="56"/>
      <c r="C19" s="5" t="s">
        <v>28</v>
      </c>
      <c r="D19" s="4">
        <v>110</v>
      </c>
      <c r="E19" s="4">
        <f>INPUT!D108</f>
        <v>2</v>
      </c>
      <c r="F19" s="27">
        <f>INPUT!F108</f>
        <v>61.93</v>
      </c>
      <c r="G19" s="10">
        <f t="shared" si="4"/>
        <v>55.737000000000002</v>
      </c>
      <c r="H19" s="5">
        <f>INPUT!G108</f>
        <v>47.95</v>
      </c>
      <c r="I19" s="13">
        <f>INPUT!J108</f>
        <v>110</v>
      </c>
      <c r="J19" s="13">
        <f>INPUT!R17</f>
        <v>2.2000000000000002</v>
      </c>
      <c r="K19" s="4">
        <f>INPUT!K108</f>
        <v>2.2000000000000002</v>
      </c>
      <c r="L19" s="4">
        <f t="shared" si="1"/>
        <v>0</v>
      </c>
      <c r="N19" s="5"/>
      <c r="O19" s="5"/>
      <c r="Q19" s="24">
        <f t="shared" si="5"/>
        <v>13.979999999999997</v>
      </c>
      <c r="R19" s="24">
        <f t="shared" si="6"/>
        <v>7.786999999999999</v>
      </c>
    </row>
    <row r="20" spans="1:18" x14ac:dyDescent="0.25">
      <c r="A20" s="55"/>
      <c r="B20" s="56"/>
      <c r="C20" s="5" t="s">
        <v>29</v>
      </c>
      <c r="D20" s="4">
        <v>110</v>
      </c>
      <c r="E20" s="4">
        <f>INPUT!D109</f>
        <v>2.5</v>
      </c>
      <c r="F20" s="27">
        <f>INPUT!F109</f>
        <v>11.04</v>
      </c>
      <c r="G20" s="10">
        <f t="shared" si="4"/>
        <v>9.9359999999999999</v>
      </c>
      <c r="H20" s="5">
        <f>INPUT!G109</f>
        <v>11.74</v>
      </c>
      <c r="I20" s="13">
        <f>INPUT!J109</f>
        <v>94.08</v>
      </c>
      <c r="J20" s="13">
        <f>INPUT!R18</f>
        <v>2.75</v>
      </c>
      <c r="K20" s="4">
        <f>INPUT!K109</f>
        <v>2.35</v>
      </c>
      <c r="L20" s="4">
        <f t="shared" si="1"/>
        <v>-0.39999999999999991</v>
      </c>
      <c r="N20" s="5"/>
      <c r="O20" s="5"/>
      <c r="Q20" s="24">
        <f t="shared" si="5"/>
        <v>-0.70000000000000107</v>
      </c>
      <c r="R20" s="24">
        <f t="shared" si="6"/>
        <v>-1.8040000000000003</v>
      </c>
    </row>
    <row r="21" spans="1:18" x14ac:dyDescent="0.25">
      <c r="A21" s="4">
        <v>6</v>
      </c>
      <c r="B21" s="5" t="s">
        <v>30</v>
      </c>
      <c r="C21" s="20" t="s">
        <v>31</v>
      </c>
      <c r="D21" s="4">
        <v>110</v>
      </c>
      <c r="E21" s="4"/>
      <c r="F21" s="9">
        <f>INPUT!F110</f>
        <v>0</v>
      </c>
      <c r="G21" s="5"/>
      <c r="H21" s="5">
        <f>INPUT!G110</f>
        <v>0</v>
      </c>
      <c r="I21" s="13">
        <f>INPUT!J110</f>
        <v>0</v>
      </c>
      <c r="J21" s="13">
        <f>INPUT!R19</f>
        <v>0</v>
      </c>
      <c r="K21" s="4">
        <f>INPUT!K110</f>
        <v>0</v>
      </c>
      <c r="L21" s="4">
        <f t="shared" si="1"/>
        <v>0</v>
      </c>
      <c r="N21" s="5"/>
      <c r="O21" s="5"/>
      <c r="Q21" s="15">
        <f t="shared" si="2"/>
        <v>0</v>
      </c>
      <c r="R21" s="15">
        <f t="shared" si="3"/>
        <v>0</v>
      </c>
    </row>
    <row r="22" spans="1:18" x14ac:dyDescent="0.25">
      <c r="A22" s="55">
        <v>7</v>
      </c>
      <c r="B22" s="56" t="s">
        <v>32</v>
      </c>
      <c r="C22" s="26" t="s">
        <v>33</v>
      </c>
      <c r="D22" s="6" t="s">
        <v>54</v>
      </c>
      <c r="E22" s="4">
        <f>INPUT!D111</f>
        <v>2.5</v>
      </c>
      <c r="F22" s="9">
        <f>INPUT!F111</f>
        <v>451</v>
      </c>
      <c r="G22" s="12">
        <f>F22*110%</f>
        <v>496.1</v>
      </c>
      <c r="H22" s="5">
        <f>INPUT!G111</f>
        <v>242</v>
      </c>
      <c r="I22" s="13">
        <f>INPUT!J111</f>
        <v>53.69</v>
      </c>
      <c r="J22" s="13">
        <f>INPUT!R20</f>
        <v>1.38</v>
      </c>
      <c r="K22" s="4">
        <f>INPUT!K111</f>
        <v>1.34</v>
      </c>
      <c r="L22" s="4">
        <f t="shared" si="1"/>
        <v>-3.9999999999999813E-2</v>
      </c>
      <c r="N22" s="5"/>
      <c r="O22" s="5"/>
      <c r="Q22" s="15">
        <f t="shared" si="2"/>
        <v>-209</v>
      </c>
      <c r="R22" s="15">
        <f t="shared" si="3"/>
        <v>-254.10000000000002</v>
      </c>
    </row>
    <row r="23" spans="1:18" x14ac:dyDescent="0.25">
      <c r="A23" s="55"/>
      <c r="B23" s="56"/>
      <c r="C23" s="5" t="s">
        <v>34</v>
      </c>
      <c r="D23" s="4">
        <v>110</v>
      </c>
      <c r="E23" s="4">
        <f>INPUT!D112</f>
        <v>2.5</v>
      </c>
      <c r="F23" s="9">
        <f>INPUT!F112</f>
        <v>2033</v>
      </c>
      <c r="G23" s="12">
        <f>F23*110%</f>
        <v>2236.3000000000002</v>
      </c>
      <c r="H23" s="12">
        <f>INPUT!G112</f>
        <v>1498.2072000000001</v>
      </c>
      <c r="I23" s="13">
        <f>INPUT!J112</f>
        <v>73.69</v>
      </c>
      <c r="J23" s="13">
        <f>INPUT!R21</f>
        <v>1.84</v>
      </c>
      <c r="K23" s="4">
        <f>INPUT!K112</f>
        <v>1.84</v>
      </c>
      <c r="L23" s="4">
        <f t="shared" si="1"/>
        <v>0</v>
      </c>
      <c r="N23" s="5"/>
      <c r="O23" s="5"/>
      <c r="Q23" s="15">
        <f t="shared" si="2"/>
        <v>-534.79279999999994</v>
      </c>
      <c r="R23" s="15">
        <f t="shared" si="3"/>
        <v>-738.09280000000012</v>
      </c>
    </row>
    <row r="24" spans="1:18" x14ac:dyDescent="0.25">
      <c r="A24" s="55"/>
      <c r="B24" s="56"/>
      <c r="C24" s="5" t="s">
        <v>35</v>
      </c>
      <c r="D24" s="4">
        <v>110</v>
      </c>
      <c r="E24" s="4">
        <f>INPUT!D113</f>
        <v>5</v>
      </c>
      <c r="F24" s="9">
        <f>INPUT!F113</f>
        <v>1356</v>
      </c>
      <c r="G24" s="12">
        <f t="shared" ref="G24:G31" si="7">F24*110%</f>
        <v>1491.6000000000001</v>
      </c>
      <c r="H24" s="12">
        <f>INPUT!G113</f>
        <v>474</v>
      </c>
      <c r="I24" s="13">
        <f>INPUT!J113</f>
        <v>34.97</v>
      </c>
      <c r="J24" s="13">
        <f>INPUT!R22</f>
        <v>1.18</v>
      </c>
      <c r="K24" s="4">
        <f>INPUT!K113</f>
        <v>1.75</v>
      </c>
      <c r="L24" s="4">
        <f t="shared" si="1"/>
        <v>0.57000000000000006</v>
      </c>
      <c r="N24" s="5"/>
      <c r="O24" s="5"/>
      <c r="Q24" s="15">
        <f t="shared" si="2"/>
        <v>-882</v>
      </c>
      <c r="R24" s="15">
        <f t="shared" si="3"/>
        <v>-1017.6000000000001</v>
      </c>
    </row>
    <row r="25" spans="1:18" x14ac:dyDescent="0.25">
      <c r="A25" s="55">
        <v>8</v>
      </c>
      <c r="B25" s="56" t="s">
        <v>36</v>
      </c>
      <c r="C25" s="5" t="s">
        <v>37</v>
      </c>
      <c r="D25" s="4">
        <v>110</v>
      </c>
      <c r="E25" s="4">
        <f>INPUT!D114</f>
        <v>5</v>
      </c>
      <c r="F25" s="9">
        <f>INPUT!F114</f>
        <v>988</v>
      </c>
      <c r="G25" s="12">
        <f t="shared" si="7"/>
        <v>1086.8000000000002</v>
      </c>
      <c r="H25" s="12">
        <f>INPUT!G114</f>
        <v>756</v>
      </c>
      <c r="I25" s="13">
        <f>INPUT!J114</f>
        <v>76.5</v>
      </c>
      <c r="J25" s="13">
        <f>INPUT!R23</f>
        <v>3.65</v>
      </c>
      <c r="K25" s="4">
        <f>INPUT!K114</f>
        <v>3.82</v>
      </c>
      <c r="L25" s="4">
        <f t="shared" si="1"/>
        <v>0.16999999999999993</v>
      </c>
      <c r="N25" s="5"/>
      <c r="O25" s="5"/>
      <c r="Q25" s="15">
        <f t="shared" si="2"/>
        <v>-232</v>
      </c>
      <c r="R25" s="15">
        <f t="shared" si="3"/>
        <v>-330.80000000000018</v>
      </c>
    </row>
    <row r="26" spans="1:18" x14ac:dyDescent="0.25">
      <c r="A26" s="55"/>
      <c r="B26" s="56"/>
      <c r="C26" s="5" t="s">
        <v>38</v>
      </c>
      <c r="D26" s="4">
        <v>110</v>
      </c>
      <c r="E26" s="4">
        <f>INPUT!D115</f>
        <v>5</v>
      </c>
      <c r="F26" s="9">
        <f>INPUT!F115</f>
        <v>773770278</v>
      </c>
      <c r="G26" s="9">
        <f t="shared" si="7"/>
        <v>851147305.80000007</v>
      </c>
      <c r="H26" s="9">
        <f>INPUT!G115</f>
        <v>440086127</v>
      </c>
      <c r="I26" s="13">
        <f>INPUT!J115</f>
        <v>56.88</v>
      </c>
      <c r="J26" s="13">
        <f>INPUT!R24</f>
        <v>2.7</v>
      </c>
      <c r="K26" s="4">
        <f>INPUT!K115</f>
        <v>2.84</v>
      </c>
      <c r="L26" s="4">
        <f t="shared" si="1"/>
        <v>0.13999999999999968</v>
      </c>
      <c r="N26" s="5"/>
      <c r="O26" s="5"/>
      <c r="Q26" s="15">
        <f t="shared" si="2"/>
        <v>-333684151</v>
      </c>
      <c r="R26" s="15">
        <f t="shared" si="3"/>
        <v>-411061178.80000007</v>
      </c>
    </row>
    <row r="27" spans="1:18" x14ac:dyDescent="0.25">
      <c r="A27" s="55"/>
      <c r="B27" s="56"/>
      <c r="C27" s="5" t="s">
        <v>39</v>
      </c>
      <c r="D27" s="4">
        <v>110</v>
      </c>
      <c r="E27" s="4">
        <f>INPUT!D116</f>
        <v>5</v>
      </c>
      <c r="F27" s="9">
        <f>INPUT!F116</f>
        <v>15493</v>
      </c>
      <c r="G27" s="12">
        <f t="shared" si="7"/>
        <v>17042.300000000003</v>
      </c>
      <c r="H27" s="12">
        <f>INPUT!G116</f>
        <v>4268</v>
      </c>
      <c r="I27" s="13">
        <f>INPUT!J116</f>
        <v>27.55</v>
      </c>
      <c r="J27" s="13">
        <f>INPUT!R25</f>
        <v>1.26</v>
      </c>
      <c r="K27" s="4">
        <f>INPUT!K116</f>
        <v>1.38</v>
      </c>
      <c r="L27" s="4">
        <f t="shared" si="1"/>
        <v>0.11999999999999988</v>
      </c>
      <c r="N27" s="5"/>
      <c r="O27" s="5"/>
      <c r="Q27" s="15">
        <f t="shared" si="2"/>
        <v>-11225</v>
      </c>
      <c r="R27" s="15">
        <f t="shared" si="3"/>
        <v>-12774.300000000003</v>
      </c>
    </row>
    <row r="28" spans="1:18" x14ac:dyDescent="0.25">
      <c r="A28" s="55">
        <v>9</v>
      </c>
      <c r="B28" s="56" t="s">
        <v>40</v>
      </c>
      <c r="C28" s="26" t="s">
        <v>41</v>
      </c>
      <c r="D28" s="4">
        <v>110</v>
      </c>
      <c r="E28" s="4">
        <f>INPUT!D117</f>
        <v>2</v>
      </c>
      <c r="F28" s="9">
        <f>INPUT!F117</f>
        <v>78.760000000000005</v>
      </c>
      <c r="G28" s="5">
        <f t="shared" si="7"/>
        <v>86.63600000000001</v>
      </c>
      <c r="H28" s="5">
        <f>INPUT!G117</f>
        <v>73.430000000000007</v>
      </c>
      <c r="I28" s="13">
        <f>INPUT!J117</f>
        <v>93.23</v>
      </c>
      <c r="J28" s="13">
        <f>INPUT!R26</f>
        <v>1.89</v>
      </c>
      <c r="K28" s="4">
        <f>INPUT!K117</f>
        <v>1.86</v>
      </c>
      <c r="L28" s="4">
        <f t="shared" si="1"/>
        <v>-2.9999999999999805E-2</v>
      </c>
      <c r="N28" s="5"/>
      <c r="O28" s="5"/>
      <c r="Q28" s="15">
        <f t="shared" si="2"/>
        <v>-5.3299999999999983</v>
      </c>
      <c r="R28" s="15">
        <f t="shared" si="3"/>
        <v>-13.206000000000003</v>
      </c>
    </row>
    <row r="29" spans="1:18" x14ac:dyDescent="0.25">
      <c r="A29" s="55"/>
      <c r="B29" s="56"/>
      <c r="C29" s="5" t="s">
        <v>42</v>
      </c>
      <c r="D29" s="4">
        <v>110</v>
      </c>
      <c r="E29" s="4">
        <f>INPUT!D118</f>
        <v>1.5</v>
      </c>
      <c r="F29" s="9">
        <f>INPUT!F118</f>
        <v>89612005</v>
      </c>
      <c r="G29" s="9">
        <f t="shared" si="7"/>
        <v>98573205.500000015</v>
      </c>
      <c r="H29" s="9">
        <f>INPUT!G118</f>
        <v>355162014</v>
      </c>
      <c r="I29" s="13">
        <f>INPUT!J118</f>
        <v>110</v>
      </c>
      <c r="J29" s="13">
        <f>INPUT!R27</f>
        <v>1.65</v>
      </c>
      <c r="K29" s="4">
        <f>INPUT!K118</f>
        <v>1.65</v>
      </c>
      <c r="L29" s="4">
        <f t="shared" si="1"/>
        <v>0</v>
      </c>
      <c r="N29" s="5"/>
      <c r="O29" s="5"/>
      <c r="Q29" s="15">
        <f t="shared" si="2"/>
        <v>265550009</v>
      </c>
      <c r="R29" s="15">
        <f t="shared" si="3"/>
        <v>256588808.5</v>
      </c>
    </row>
    <row r="30" spans="1:18" x14ac:dyDescent="0.25">
      <c r="A30" s="55"/>
      <c r="B30" s="56"/>
      <c r="C30" s="5" t="s">
        <v>43</v>
      </c>
      <c r="D30" s="4">
        <v>110</v>
      </c>
      <c r="E30" s="4">
        <f>INPUT!D119</f>
        <v>1.5</v>
      </c>
      <c r="F30" s="9">
        <f>INPUT!F119</f>
        <v>267</v>
      </c>
      <c r="G30" s="12">
        <f t="shared" si="7"/>
        <v>293.70000000000005</v>
      </c>
      <c r="H30" s="16">
        <f>INPUT!G119</f>
        <v>55.4114</v>
      </c>
      <c r="I30" s="13">
        <f>INPUT!J119</f>
        <v>20.77</v>
      </c>
      <c r="J30" s="13">
        <f>INPUT!R28</f>
        <v>0.31</v>
      </c>
      <c r="K30" s="4">
        <f>INPUT!K119</f>
        <v>0.31</v>
      </c>
      <c r="L30" s="4">
        <f t="shared" si="1"/>
        <v>0</v>
      </c>
      <c r="N30" s="5"/>
      <c r="O30" s="5"/>
      <c r="Q30" s="15">
        <f t="shared" si="2"/>
        <v>-211.58859999999999</v>
      </c>
      <c r="R30" s="15">
        <f t="shared" si="3"/>
        <v>-238.28860000000003</v>
      </c>
    </row>
    <row r="31" spans="1:18" x14ac:dyDescent="0.25">
      <c r="A31" s="4">
        <v>10</v>
      </c>
      <c r="B31" s="5" t="s">
        <v>44</v>
      </c>
      <c r="C31" s="5" t="s">
        <v>44</v>
      </c>
      <c r="D31" s="4"/>
      <c r="E31" s="4"/>
      <c r="F31" s="9">
        <f>INPUT!F120</f>
        <v>1683564317</v>
      </c>
      <c r="G31" s="9">
        <f t="shared" si="7"/>
        <v>1851920748.7</v>
      </c>
      <c r="H31" s="9">
        <f>INPUT!G120</f>
        <v>1515917011</v>
      </c>
      <c r="I31" s="13">
        <f>INPUT!J120</f>
        <v>90.04</v>
      </c>
      <c r="J31" s="13">
        <f>INPUT!R29</f>
        <v>0</v>
      </c>
      <c r="K31" s="4">
        <f>INPUT!K120</f>
        <v>0</v>
      </c>
      <c r="L31" s="4">
        <f t="shared" si="1"/>
        <v>0</v>
      </c>
      <c r="N31" s="5"/>
      <c r="O31" s="5"/>
      <c r="Q31" s="15"/>
      <c r="R31" s="15"/>
    </row>
    <row r="32" spans="1:18" x14ac:dyDescent="0.25">
      <c r="A32" s="58" t="s">
        <v>53</v>
      </c>
      <c r="B32" s="58"/>
      <c r="C32" s="8"/>
      <c r="D32" s="7"/>
      <c r="E32" s="7">
        <f>SUM(E5:E31)</f>
        <v>100</v>
      </c>
      <c r="F32" s="8"/>
      <c r="G32" s="8"/>
      <c r="H32" s="8"/>
      <c r="I32" s="21"/>
      <c r="J32" s="21">
        <f>SUM(J5:J31)</f>
        <v>76.890000000000029</v>
      </c>
      <c r="K32" s="7">
        <f>SUM(K5:K31)</f>
        <v>77.360000000000014</v>
      </c>
      <c r="L32" s="44">
        <f>SUM(L5:L31)</f>
        <v>0.46999999999999975</v>
      </c>
      <c r="N32" s="14"/>
      <c r="O32" s="14"/>
      <c r="Q32" s="5"/>
      <c r="R32" s="5"/>
    </row>
  </sheetData>
  <mergeCells count="27">
    <mergeCell ref="Q3:R3"/>
    <mergeCell ref="N3:O3"/>
    <mergeCell ref="A28:A30"/>
    <mergeCell ref="B28:B30"/>
    <mergeCell ref="A32:B32"/>
    <mergeCell ref="F3:G3"/>
    <mergeCell ref="H3:H4"/>
    <mergeCell ref="A15:A20"/>
    <mergeCell ref="B15:B20"/>
    <mergeCell ref="A22:A24"/>
    <mergeCell ref="B22:B24"/>
    <mergeCell ref="A25:A27"/>
    <mergeCell ref="B25:B27"/>
    <mergeCell ref="J3:K3"/>
    <mergeCell ref="L3:L4"/>
    <mergeCell ref="A5:A8"/>
    <mergeCell ref="B5:B8"/>
    <mergeCell ref="A11:A14"/>
    <mergeCell ref="B11:B14"/>
    <mergeCell ref="A1:L1"/>
    <mergeCell ref="A2:L2"/>
    <mergeCell ref="A3:A4"/>
    <mergeCell ref="B3:B4"/>
    <mergeCell ref="C3:C4"/>
    <mergeCell ref="D3:D4"/>
    <mergeCell ref="E3:E4"/>
    <mergeCell ref="I3:I4"/>
  </mergeCells>
  <conditionalFormatting sqref="I5:I31">
    <cfRule type="cellIs" dxfId="30" priority="1" operator="lessThan">
      <formula>100</formula>
    </cfRule>
    <cfRule type="cellIs" dxfId="29" priority="2" operator="greaterThan">
      <formula>100</formula>
    </cfRule>
  </conditionalFormatting>
  <conditionalFormatting sqref="L5:L32">
    <cfRule type="cellIs" dxfId="28" priority="5" operator="lessThan">
      <formula>0</formula>
    </cfRule>
    <cfRule type="cellIs" dxfId="27" priority="6" operator="greaterThan">
      <formula>0</formula>
    </cfRule>
  </conditionalFormatting>
  <conditionalFormatting sqref="Q5:R30">
    <cfRule type="cellIs" dxfId="26" priority="3" operator="lessThan">
      <formula>0</formula>
    </cfRule>
    <cfRule type="cellIs" dxfId="25" priority="4" operator="greaterThan">
      <formula>0</formula>
    </cfRule>
  </conditionalFormatting>
  <pageMargins left="0.35433070866141736" right="0.11811023622047245" top="0.74803149606299213" bottom="0.74803149606299213" header="0.31496062992125984" footer="0.31496062992125984"/>
  <pageSetup paperSize="5" scale="7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6557-F0A6-4967-AA1F-A6D41A3136BD}">
  <dimension ref="A1:R32"/>
  <sheetViews>
    <sheetView zoomScaleNormal="60" workbookViewId="0">
      <selection activeCell="L32" sqref="L32"/>
    </sheetView>
  </sheetViews>
  <sheetFormatPr defaultRowHeight="15" x14ac:dyDescent="0.25"/>
  <cols>
    <col min="1" max="1" width="3.42578125" bestFit="1" customWidth="1"/>
    <col min="2" max="2" width="24.85546875" bestFit="1" customWidth="1"/>
    <col min="3" max="3" width="28.7109375" customWidth="1"/>
    <col min="4" max="4" width="8.85546875" bestFit="1" customWidth="1"/>
    <col min="5" max="5" width="10" bestFit="1" customWidth="1"/>
    <col min="6" max="6" width="17.28515625" bestFit="1" customWidth="1"/>
    <col min="7" max="7" width="16.28515625" bestFit="1" customWidth="1"/>
    <col min="8" max="8" width="15.28515625" bestFit="1" customWidth="1"/>
    <col min="9" max="9" width="10.5703125" style="2" customWidth="1"/>
    <col min="10" max="12" width="12.28515625" customWidth="1"/>
    <col min="13" max="13" width="3.28515625" customWidth="1"/>
    <col min="16" max="16" width="3.28515625" customWidth="1"/>
    <col min="17" max="17" width="14.42578125" bestFit="1" customWidth="1"/>
    <col min="18" max="18" width="15.28515625" bestFit="1" customWidth="1"/>
  </cols>
  <sheetData>
    <row r="1" spans="1:18" x14ac:dyDescent="0.25">
      <c r="A1" s="59" t="s">
        <v>74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1:18" x14ac:dyDescent="0.25">
      <c r="A2" s="65">
        <f>KONSOL!A2</f>
        <v>46178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8" ht="20.100000000000001" customHeight="1" x14ac:dyDescent="0.25">
      <c r="A3" s="57" t="s">
        <v>0</v>
      </c>
      <c r="B3" s="57" t="s">
        <v>1</v>
      </c>
      <c r="C3" s="57" t="s">
        <v>2</v>
      </c>
      <c r="D3" s="57" t="s">
        <v>46</v>
      </c>
      <c r="E3" s="57" t="s">
        <v>3</v>
      </c>
      <c r="F3" s="61" t="s">
        <v>51</v>
      </c>
      <c r="G3" s="62"/>
      <c r="H3" s="63" t="s">
        <v>6</v>
      </c>
      <c r="I3" s="57" t="s">
        <v>55</v>
      </c>
      <c r="J3" s="57" t="s">
        <v>52</v>
      </c>
      <c r="K3" s="57"/>
      <c r="L3" s="57" t="s">
        <v>50</v>
      </c>
      <c r="M3" s="2"/>
      <c r="N3" s="58" t="s">
        <v>58</v>
      </c>
      <c r="O3" s="58"/>
      <c r="Q3" s="58" t="s">
        <v>61</v>
      </c>
      <c r="R3" s="58"/>
    </row>
    <row r="4" spans="1:18" ht="20.100000000000001" customHeight="1" x14ac:dyDescent="0.25">
      <c r="A4" s="57"/>
      <c r="B4" s="57"/>
      <c r="C4" s="57"/>
      <c r="D4" s="57"/>
      <c r="E4" s="57"/>
      <c r="F4" s="3" t="s">
        <v>47</v>
      </c>
      <c r="G4" s="3" t="s">
        <v>48</v>
      </c>
      <c r="H4" s="64"/>
      <c r="I4" s="57"/>
      <c r="J4" s="3" t="s">
        <v>57</v>
      </c>
      <c r="K4" s="3" t="s">
        <v>49</v>
      </c>
      <c r="L4" s="57"/>
      <c r="M4" s="2"/>
      <c r="N4" s="7" t="s">
        <v>59</v>
      </c>
      <c r="O4" s="7" t="s">
        <v>60</v>
      </c>
      <c r="Q4" s="7" t="s">
        <v>47</v>
      </c>
      <c r="R4" s="7" t="s">
        <v>48</v>
      </c>
    </row>
    <row r="5" spans="1:18" x14ac:dyDescent="0.25">
      <c r="A5" s="55">
        <v>1</v>
      </c>
      <c r="B5" s="56" t="s">
        <v>11</v>
      </c>
      <c r="C5" s="5" t="s">
        <v>12</v>
      </c>
      <c r="D5" s="6" t="s">
        <v>54</v>
      </c>
      <c r="E5" s="4">
        <f>INPUT!D124</f>
        <v>10</v>
      </c>
      <c r="F5" s="9">
        <f>INPUT!F124</f>
        <v>25020277303</v>
      </c>
      <c r="G5" s="15">
        <f>F5*110%</f>
        <v>27522305033.300003</v>
      </c>
      <c r="H5" s="9">
        <f>INPUT!G124</f>
        <v>28829140086</v>
      </c>
      <c r="I5" s="13">
        <f>INPUT!J124</f>
        <v>115.22</v>
      </c>
      <c r="J5" s="4">
        <f>INPUT!S3</f>
        <v>11.45</v>
      </c>
      <c r="K5" s="4">
        <f>INPUT!K124</f>
        <v>11.52</v>
      </c>
      <c r="L5" s="4">
        <f>K5-J5</f>
        <v>7.0000000000000284E-2</v>
      </c>
      <c r="N5" s="5"/>
      <c r="O5" s="5"/>
      <c r="Q5" s="15">
        <f>H5-F5</f>
        <v>3808862783</v>
      </c>
      <c r="R5" s="15">
        <f>H5-G5</f>
        <v>1306835052.6999969</v>
      </c>
    </row>
    <row r="6" spans="1:18" x14ac:dyDescent="0.25">
      <c r="A6" s="55"/>
      <c r="B6" s="56"/>
      <c r="C6" s="5" t="s">
        <v>13</v>
      </c>
      <c r="D6" s="4">
        <v>110</v>
      </c>
      <c r="E6" s="4">
        <f>INPUT!D125</f>
        <v>5</v>
      </c>
      <c r="F6" s="9">
        <f>INPUT!F125</f>
        <v>6338790652</v>
      </c>
      <c r="G6" s="15">
        <f t="shared" ref="G6:G14" si="0">F6*110%</f>
        <v>6972669717.2000008</v>
      </c>
      <c r="H6" s="9">
        <f>INPUT!G125</f>
        <v>5357216661</v>
      </c>
      <c r="I6" s="13">
        <f>INPUT!J125</f>
        <v>84.51</v>
      </c>
      <c r="J6" s="4">
        <f>INPUT!S4</f>
        <v>4.2300000000000004</v>
      </c>
      <c r="K6" s="4">
        <f>INPUT!K125</f>
        <v>4.2300000000000004</v>
      </c>
      <c r="L6" s="4">
        <f t="shared" ref="L6:L31" si="1">K6-J6</f>
        <v>0</v>
      </c>
      <c r="N6" s="5"/>
      <c r="O6" s="5"/>
      <c r="Q6" s="15">
        <f t="shared" ref="Q6:Q30" si="2">H6-F6</f>
        <v>-981573991</v>
      </c>
      <c r="R6" s="15">
        <f t="shared" ref="R6:R30" si="3">H6-G6</f>
        <v>-1615453056.2000008</v>
      </c>
    </row>
    <row r="7" spans="1:18" x14ac:dyDescent="0.25">
      <c r="A7" s="55"/>
      <c r="B7" s="56"/>
      <c r="C7" s="5" t="s">
        <v>14</v>
      </c>
      <c r="D7" s="6" t="s">
        <v>54</v>
      </c>
      <c r="E7" s="4">
        <f>INPUT!D126</f>
        <v>7.5</v>
      </c>
      <c r="F7" s="9">
        <f>INPUT!F126</f>
        <v>2269886397</v>
      </c>
      <c r="G7" s="15">
        <f t="shared" si="0"/>
        <v>2496875036.7000003</v>
      </c>
      <c r="H7" s="9">
        <f>INPUT!G126</f>
        <v>2135214880</v>
      </c>
      <c r="I7" s="13">
        <f>INPUT!J126</f>
        <v>94.07</v>
      </c>
      <c r="J7" s="4">
        <f>INPUT!S5</f>
        <v>7.1</v>
      </c>
      <c r="K7" s="4">
        <f>INPUT!K126</f>
        <v>7.06</v>
      </c>
      <c r="L7" s="4">
        <f t="shared" si="1"/>
        <v>-4.0000000000000036E-2</v>
      </c>
      <c r="N7" s="5"/>
      <c r="O7" s="5"/>
      <c r="Q7" s="15">
        <f t="shared" si="2"/>
        <v>-134671517</v>
      </c>
      <c r="R7" s="15">
        <f t="shared" si="3"/>
        <v>-361660156.70000029</v>
      </c>
    </row>
    <row r="8" spans="1:18" x14ac:dyDescent="0.25">
      <c r="A8" s="55"/>
      <c r="B8" s="56"/>
      <c r="C8" s="5" t="s">
        <v>15</v>
      </c>
      <c r="D8" s="4">
        <v>110</v>
      </c>
      <c r="E8" s="4">
        <f>INPUT!D127</f>
        <v>5</v>
      </c>
      <c r="F8" s="9">
        <f>INPUT!F127</f>
        <v>35200641591</v>
      </c>
      <c r="G8" s="15">
        <f t="shared" si="0"/>
        <v>38720705750.100006</v>
      </c>
      <c r="H8" s="9">
        <f>INPUT!G127</f>
        <v>37905187824</v>
      </c>
      <c r="I8" s="13">
        <f>INPUT!J127</f>
        <v>107.68</v>
      </c>
      <c r="J8" s="4">
        <f>INPUT!S6</f>
        <v>5.49</v>
      </c>
      <c r="K8" s="4">
        <f>INPUT!K127</f>
        <v>5.38</v>
      </c>
      <c r="L8" s="4">
        <f t="shared" si="1"/>
        <v>-0.11000000000000032</v>
      </c>
      <c r="N8" s="5"/>
      <c r="O8" s="5"/>
      <c r="Q8" s="15">
        <f t="shared" si="2"/>
        <v>2704546233</v>
      </c>
      <c r="R8" s="15">
        <f t="shared" si="3"/>
        <v>-815517926.1000061</v>
      </c>
    </row>
    <row r="9" spans="1:18" x14ac:dyDescent="0.25">
      <c r="A9" s="4">
        <v>2</v>
      </c>
      <c r="B9" s="5" t="s">
        <v>16</v>
      </c>
      <c r="C9" s="5" t="s">
        <v>16</v>
      </c>
      <c r="D9" s="4">
        <v>110</v>
      </c>
      <c r="E9" s="4">
        <f>INPUT!D128</f>
        <v>10</v>
      </c>
      <c r="F9" s="9">
        <f>INPUT!F128</f>
        <v>5122308848</v>
      </c>
      <c r="G9" s="15">
        <f t="shared" si="0"/>
        <v>5634539732.8000002</v>
      </c>
      <c r="H9" s="9">
        <f>INPUT!G128</f>
        <v>2415132035.1440001</v>
      </c>
      <c r="I9" s="13">
        <f>INPUT!J128</f>
        <v>47.15</v>
      </c>
      <c r="J9" s="4">
        <f>INPUT!S7</f>
        <v>4.71</v>
      </c>
      <c r="K9" s="4">
        <f>INPUT!K128</f>
        <v>4.71</v>
      </c>
      <c r="L9" s="4">
        <f t="shared" si="1"/>
        <v>0</v>
      </c>
      <c r="N9" s="5"/>
      <c r="O9" s="5"/>
      <c r="Q9" s="15">
        <f t="shared" si="2"/>
        <v>-2707176812.8559999</v>
      </c>
      <c r="R9" s="15">
        <f t="shared" si="3"/>
        <v>-3219407697.6560001</v>
      </c>
    </row>
    <row r="10" spans="1:18" x14ac:dyDescent="0.25">
      <c r="A10" s="4">
        <v>3</v>
      </c>
      <c r="B10" s="5" t="s">
        <v>17</v>
      </c>
      <c r="C10" s="20" t="s">
        <v>17</v>
      </c>
      <c r="D10" s="4">
        <v>110</v>
      </c>
      <c r="E10" s="4"/>
      <c r="F10" s="9">
        <f>INPUT!F129</f>
        <v>0</v>
      </c>
      <c r="G10" s="15">
        <f t="shared" si="0"/>
        <v>0</v>
      </c>
      <c r="H10" s="5"/>
      <c r="I10" s="13">
        <f>INPUT!J129</f>
        <v>0</v>
      </c>
      <c r="J10" s="4">
        <f>INPUT!S8</f>
        <v>0</v>
      </c>
      <c r="K10" s="4">
        <f>INPUT!K129</f>
        <v>0</v>
      </c>
      <c r="L10" s="4">
        <f t="shared" si="1"/>
        <v>0</v>
      </c>
      <c r="N10" s="5"/>
      <c r="O10" s="5"/>
      <c r="Q10" s="15">
        <f t="shared" si="2"/>
        <v>0</v>
      </c>
      <c r="R10" s="15">
        <f t="shared" si="3"/>
        <v>0</v>
      </c>
    </row>
    <row r="11" spans="1:18" x14ac:dyDescent="0.25">
      <c r="A11" s="55">
        <v>4</v>
      </c>
      <c r="B11" s="56" t="s">
        <v>18</v>
      </c>
      <c r="C11" s="5" t="s">
        <v>19</v>
      </c>
      <c r="D11" s="4">
        <v>110</v>
      </c>
      <c r="E11" s="4">
        <f>INPUT!D130</f>
        <v>5</v>
      </c>
      <c r="F11" s="9">
        <f>INPUT!F130</f>
        <v>1889</v>
      </c>
      <c r="G11" s="15">
        <f t="shared" si="0"/>
        <v>2077.9</v>
      </c>
      <c r="H11" s="5">
        <f>INPUT!G130</f>
        <v>556</v>
      </c>
      <c r="I11" s="13">
        <f>INPUT!J130</f>
        <v>29.44</v>
      </c>
      <c r="J11" s="4">
        <f>INPUT!S9</f>
        <v>1.4</v>
      </c>
      <c r="K11" s="4">
        <f>INPUT!K130</f>
        <v>1.47</v>
      </c>
      <c r="L11" s="4">
        <f t="shared" si="1"/>
        <v>7.0000000000000062E-2</v>
      </c>
      <c r="N11" s="5"/>
      <c r="O11" s="5"/>
      <c r="Q11" s="15">
        <f t="shared" si="2"/>
        <v>-1333</v>
      </c>
      <c r="R11" s="15">
        <f t="shared" si="3"/>
        <v>-1521.9</v>
      </c>
    </row>
    <row r="12" spans="1:18" x14ac:dyDescent="0.25">
      <c r="A12" s="55"/>
      <c r="B12" s="56"/>
      <c r="C12" s="5" t="s">
        <v>20</v>
      </c>
      <c r="D12" s="4">
        <v>110</v>
      </c>
      <c r="E12" s="4">
        <f>INPUT!D131</f>
        <v>2.5</v>
      </c>
      <c r="F12" s="9">
        <f>INPUT!F131</f>
        <v>41</v>
      </c>
      <c r="G12" s="15">
        <f t="shared" si="0"/>
        <v>45.1</v>
      </c>
      <c r="H12" s="5">
        <f>INPUT!G131</f>
        <v>51</v>
      </c>
      <c r="I12" s="13">
        <f>INPUT!J131</f>
        <v>110</v>
      </c>
      <c r="J12" s="4">
        <f>INPUT!S10</f>
        <v>2.75</v>
      </c>
      <c r="K12" s="4">
        <f>INPUT!K131</f>
        <v>2.75</v>
      </c>
      <c r="L12" s="4">
        <f t="shared" si="1"/>
        <v>0</v>
      </c>
      <c r="N12" s="5"/>
      <c r="O12" s="5"/>
      <c r="Q12" s="15">
        <f t="shared" si="2"/>
        <v>10</v>
      </c>
      <c r="R12" s="15">
        <f t="shared" si="3"/>
        <v>5.8999999999999986</v>
      </c>
    </row>
    <row r="13" spans="1:18" x14ac:dyDescent="0.25">
      <c r="A13" s="55"/>
      <c r="B13" s="56"/>
      <c r="C13" s="5" t="s">
        <v>21</v>
      </c>
      <c r="D13" s="4">
        <v>110</v>
      </c>
      <c r="E13" s="4">
        <f>INPUT!D132</f>
        <v>5</v>
      </c>
      <c r="F13" s="9">
        <f>INPUT!F132</f>
        <v>6428</v>
      </c>
      <c r="G13" s="15">
        <f t="shared" si="0"/>
        <v>7070.8</v>
      </c>
      <c r="H13" s="5">
        <f>INPUT!G132</f>
        <v>4450</v>
      </c>
      <c r="I13" s="13">
        <f>INPUT!J132</f>
        <v>69.22</v>
      </c>
      <c r="J13" s="4">
        <f>INPUT!S11</f>
        <v>3.38</v>
      </c>
      <c r="K13" s="4">
        <f>INPUT!K132</f>
        <v>3.46</v>
      </c>
      <c r="L13" s="4">
        <f t="shared" si="1"/>
        <v>8.0000000000000071E-2</v>
      </c>
      <c r="N13" s="5"/>
      <c r="O13" s="5"/>
      <c r="Q13" s="15">
        <f t="shared" si="2"/>
        <v>-1978</v>
      </c>
      <c r="R13" s="15">
        <f t="shared" si="3"/>
        <v>-2620.8000000000002</v>
      </c>
    </row>
    <row r="14" spans="1:18" x14ac:dyDescent="0.25">
      <c r="A14" s="55"/>
      <c r="B14" s="56"/>
      <c r="C14" s="5" t="s">
        <v>22</v>
      </c>
      <c r="D14" s="4">
        <v>110</v>
      </c>
      <c r="E14" s="4">
        <f>INPUT!D133</f>
        <v>5</v>
      </c>
      <c r="F14" s="9">
        <f>INPUT!F133</f>
        <v>284</v>
      </c>
      <c r="G14" s="15">
        <f t="shared" si="0"/>
        <v>312.40000000000003</v>
      </c>
      <c r="H14" s="5">
        <f>INPUT!G133</f>
        <v>271</v>
      </c>
      <c r="I14" s="13">
        <f>INPUT!J133</f>
        <v>95.49</v>
      </c>
      <c r="J14" s="4">
        <f>INPUT!S12</f>
        <v>4.79</v>
      </c>
      <c r="K14" s="4">
        <f>INPUT!K133</f>
        <v>4.7699999999999996</v>
      </c>
      <c r="L14" s="4">
        <f t="shared" si="1"/>
        <v>-2.0000000000000462E-2</v>
      </c>
      <c r="N14" s="5"/>
      <c r="O14" s="5"/>
      <c r="Q14" s="15">
        <f t="shared" si="2"/>
        <v>-13</v>
      </c>
      <c r="R14" s="15">
        <f t="shared" si="3"/>
        <v>-41.400000000000034</v>
      </c>
    </row>
    <row r="15" spans="1:18" x14ac:dyDescent="0.25">
      <c r="A15" s="55">
        <v>5</v>
      </c>
      <c r="B15" s="56" t="s">
        <v>23</v>
      </c>
      <c r="C15" s="5" t="s">
        <v>24</v>
      </c>
      <c r="D15" s="4">
        <v>110</v>
      </c>
      <c r="E15" s="4">
        <f>INPUT!D134</f>
        <v>3</v>
      </c>
      <c r="F15" s="27">
        <f>INPUT!F134</f>
        <v>0.31</v>
      </c>
      <c r="G15" s="10">
        <f>F15-(F15*10%)</f>
        <v>0.27900000000000003</v>
      </c>
      <c r="H15" s="10">
        <f>INPUT!G134</f>
        <v>0</v>
      </c>
      <c r="I15" s="13">
        <f>INPUT!J134</f>
        <v>110</v>
      </c>
      <c r="J15" s="4">
        <f>INPUT!S13</f>
        <v>3.3</v>
      </c>
      <c r="K15" s="4">
        <f>INPUT!K134</f>
        <v>3.3</v>
      </c>
      <c r="L15" s="4">
        <f t="shared" si="1"/>
        <v>0</v>
      </c>
      <c r="N15" s="5"/>
      <c r="O15" s="5"/>
      <c r="Q15" s="24">
        <f>F15-H15</f>
        <v>0.31</v>
      </c>
      <c r="R15" s="24">
        <f>G15-H15</f>
        <v>0.27900000000000003</v>
      </c>
    </row>
    <row r="16" spans="1:18" x14ac:dyDescent="0.25">
      <c r="A16" s="55"/>
      <c r="B16" s="56"/>
      <c r="C16" s="5" t="s">
        <v>25</v>
      </c>
      <c r="D16" s="4">
        <v>110</v>
      </c>
      <c r="E16" s="4">
        <f>INPUT!D135</f>
        <v>2</v>
      </c>
      <c r="F16" s="27">
        <f>INPUT!F135</f>
        <v>3.63</v>
      </c>
      <c r="G16" s="10">
        <f t="shared" ref="G16:G20" si="4">F16-(F16*10%)</f>
        <v>3.2669999999999999</v>
      </c>
      <c r="H16" s="5">
        <f>INPUT!G135</f>
        <v>2.08</v>
      </c>
      <c r="I16" s="13">
        <f>INPUT!J135</f>
        <v>110</v>
      </c>
      <c r="J16" s="4">
        <f>INPUT!S14</f>
        <v>1.1100000000000001</v>
      </c>
      <c r="K16" s="4">
        <f>INPUT!K135</f>
        <v>2.2000000000000002</v>
      </c>
      <c r="L16" s="4">
        <f t="shared" si="1"/>
        <v>1.0900000000000001</v>
      </c>
      <c r="N16" s="5"/>
      <c r="O16" s="5"/>
      <c r="Q16" s="24">
        <f t="shared" ref="Q16:Q20" si="5">F16-H16</f>
        <v>1.5499999999999998</v>
      </c>
      <c r="R16" s="24">
        <f t="shared" ref="R16:R20" si="6">G16-H16</f>
        <v>1.1869999999999998</v>
      </c>
    </row>
    <row r="17" spans="1:18" x14ac:dyDescent="0.25">
      <c r="A17" s="55"/>
      <c r="B17" s="56"/>
      <c r="C17" s="5" t="s">
        <v>26</v>
      </c>
      <c r="D17" s="4">
        <v>110</v>
      </c>
      <c r="E17" s="4">
        <f>INPUT!D136</f>
        <v>2.5</v>
      </c>
      <c r="F17" s="27">
        <f>INPUT!F136</f>
        <v>0.87</v>
      </c>
      <c r="G17" s="10">
        <f t="shared" si="4"/>
        <v>0.78300000000000003</v>
      </c>
      <c r="H17" s="5">
        <f>INPUT!G136</f>
        <v>0.71</v>
      </c>
      <c r="I17" s="13">
        <f>INPUT!J136</f>
        <v>110</v>
      </c>
      <c r="J17" s="4">
        <f>INPUT!S15</f>
        <v>2.75</v>
      </c>
      <c r="K17" s="4">
        <f>INPUT!K136</f>
        <v>2.75</v>
      </c>
      <c r="L17" s="4">
        <f t="shared" si="1"/>
        <v>0</v>
      </c>
      <c r="N17" s="5"/>
      <c r="O17" s="5"/>
      <c r="Q17" s="24">
        <f t="shared" si="5"/>
        <v>0.16000000000000003</v>
      </c>
      <c r="R17" s="24">
        <f t="shared" si="6"/>
        <v>7.3000000000000065E-2</v>
      </c>
    </row>
    <row r="18" spans="1:18" x14ac:dyDescent="0.25">
      <c r="A18" s="55"/>
      <c r="B18" s="56"/>
      <c r="C18" s="5" t="s">
        <v>27</v>
      </c>
      <c r="D18" s="4">
        <v>110</v>
      </c>
      <c r="E18" s="4">
        <f>INPUT!D137</f>
        <v>3</v>
      </c>
      <c r="F18" s="27">
        <f>INPUT!F137</f>
        <v>2.75</v>
      </c>
      <c r="G18" s="10">
        <f t="shared" si="4"/>
        <v>2.4750000000000001</v>
      </c>
      <c r="H18" s="5">
        <f>INPUT!G137</f>
        <v>3.41</v>
      </c>
      <c r="I18" s="13">
        <f>INPUT!J137</f>
        <v>80.77</v>
      </c>
      <c r="J18" s="4">
        <f>INPUT!S16</f>
        <v>2.84</v>
      </c>
      <c r="K18" s="4">
        <f>INPUT!K137</f>
        <v>2.42</v>
      </c>
      <c r="L18" s="4">
        <f t="shared" si="1"/>
        <v>-0.41999999999999993</v>
      </c>
      <c r="N18" s="5"/>
      <c r="O18" s="5"/>
      <c r="Q18" s="24">
        <f t="shared" si="5"/>
        <v>-0.66000000000000014</v>
      </c>
      <c r="R18" s="24">
        <f t="shared" si="6"/>
        <v>-0.93500000000000005</v>
      </c>
    </row>
    <row r="19" spans="1:18" x14ac:dyDescent="0.25">
      <c r="A19" s="55"/>
      <c r="B19" s="56"/>
      <c r="C19" s="5" t="s">
        <v>28</v>
      </c>
      <c r="D19" s="4">
        <v>110</v>
      </c>
      <c r="E19" s="4">
        <f>INPUT!D138</f>
        <v>2</v>
      </c>
      <c r="F19" s="27">
        <f>INPUT!F138</f>
        <v>14.83</v>
      </c>
      <c r="G19" s="10">
        <f t="shared" si="4"/>
        <v>13.347</v>
      </c>
      <c r="H19" s="5">
        <f>INPUT!G138</f>
        <v>16.05</v>
      </c>
      <c r="I19" s="13">
        <f>INPUT!J138</f>
        <v>92.43</v>
      </c>
      <c r="J19" s="4">
        <f>INPUT!S17</f>
        <v>1.1100000000000001</v>
      </c>
      <c r="K19" s="4">
        <f>INPUT!K138</f>
        <v>1.85</v>
      </c>
      <c r="L19" s="4">
        <f t="shared" si="1"/>
        <v>0.74</v>
      </c>
      <c r="N19" s="5"/>
      <c r="O19" s="5"/>
      <c r="Q19" s="24">
        <f t="shared" si="5"/>
        <v>-1.2200000000000006</v>
      </c>
      <c r="R19" s="24">
        <f t="shared" si="6"/>
        <v>-2.7030000000000012</v>
      </c>
    </row>
    <row r="20" spans="1:18" x14ac:dyDescent="0.25">
      <c r="A20" s="55"/>
      <c r="B20" s="56"/>
      <c r="C20" s="5" t="s">
        <v>29</v>
      </c>
      <c r="D20" s="4">
        <v>110</v>
      </c>
      <c r="E20" s="4">
        <f>INPUT!D139</f>
        <v>2.5</v>
      </c>
      <c r="F20" s="27">
        <f>INPUT!F139</f>
        <v>11.04</v>
      </c>
      <c r="G20" s="10">
        <f t="shared" si="4"/>
        <v>9.9359999999999999</v>
      </c>
      <c r="H20" s="5">
        <f>INPUT!G139</f>
        <v>12.3</v>
      </c>
      <c r="I20" s="13">
        <f>INPUT!J139</f>
        <v>89.79</v>
      </c>
      <c r="J20" s="4">
        <f>INPUT!S18</f>
        <v>1.56</v>
      </c>
      <c r="K20" s="4">
        <f>INPUT!K139</f>
        <v>2.2400000000000002</v>
      </c>
      <c r="L20" s="4">
        <f t="shared" si="1"/>
        <v>0.68000000000000016</v>
      </c>
      <c r="N20" s="5"/>
      <c r="O20" s="5"/>
      <c r="Q20" s="24">
        <f t="shared" si="5"/>
        <v>-1.2600000000000016</v>
      </c>
      <c r="R20" s="24">
        <f t="shared" si="6"/>
        <v>-2.3640000000000008</v>
      </c>
    </row>
    <row r="21" spans="1:18" x14ac:dyDescent="0.25">
      <c r="A21" s="4">
        <v>6</v>
      </c>
      <c r="B21" s="5" t="s">
        <v>30</v>
      </c>
      <c r="C21" s="20" t="s">
        <v>31</v>
      </c>
      <c r="D21" s="4">
        <v>110</v>
      </c>
      <c r="E21" s="4"/>
      <c r="F21" s="9">
        <f>INPUT!F140</f>
        <v>0</v>
      </c>
      <c r="G21" s="5"/>
      <c r="H21" s="5">
        <f>INPUT!G140</f>
        <v>0</v>
      </c>
      <c r="I21" s="13">
        <f>INPUT!J140</f>
        <v>0</v>
      </c>
      <c r="J21" s="4">
        <f>INPUT!S19</f>
        <v>0</v>
      </c>
      <c r="K21" s="4">
        <f>INPUT!K140</f>
        <v>0</v>
      </c>
      <c r="L21" s="4">
        <f t="shared" si="1"/>
        <v>0</v>
      </c>
      <c r="N21" s="5"/>
      <c r="O21" s="5"/>
      <c r="Q21" s="15">
        <f t="shared" si="2"/>
        <v>0</v>
      </c>
      <c r="R21" s="15">
        <f t="shared" si="3"/>
        <v>0</v>
      </c>
    </row>
    <row r="22" spans="1:18" x14ac:dyDescent="0.25">
      <c r="A22" s="55">
        <v>7</v>
      </c>
      <c r="B22" s="56" t="s">
        <v>32</v>
      </c>
      <c r="C22" s="26" t="s">
        <v>33</v>
      </c>
      <c r="D22" s="6" t="s">
        <v>54</v>
      </c>
      <c r="E22" s="4">
        <f>INPUT!D141</f>
        <v>2.5</v>
      </c>
      <c r="F22" s="9">
        <f>INPUT!F141</f>
        <v>563</v>
      </c>
      <c r="G22" s="12">
        <f>F22*110%</f>
        <v>619.30000000000007</v>
      </c>
      <c r="H22" s="5">
        <f>INPUT!G141</f>
        <v>102</v>
      </c>
      <c r="I22" s="13">
        <f>INPUT!J141</f>
        <v>18.12</v>
      </c>
      <c r="J22" s="4">
        <f>INPUT!S20</f>
        <v>0.45</v>
      </c>
      <c r="K22" s="4">
        <f>INPUT!K141</f>
        <v>0.45</v>
      </c>
      <c r="L22" s="4">
        <f t="shared" si="1"/>
        <v>0</v>
      </c>
      <c r="N22" s="5"/>
      <c r="O22" s="5"/>
      <c r="Q22" s="15">
        <f t="shared" si="2"/>
        <v>-461</v>
      </c>
      <c r="R22" s="15">
        <f t="shared" si="3"/>
        <v>-517.30000000000007</v>
      </c>
    </row>
    <row r="23" spans="1:18" x14ac:dyDescent="0.25">
      <c r="A23" s="55"/>
      <c r="B23" s="56"/>
      <c r="C23" s="5" t="s">
        <v>34</v>
      </c>
      <c r="D23" s="4">
        <v>110</v>
      </c>
      <c r="E23" s="4">
        <f>INPUT!D142</f>
        <v>2.5</v>
      </c>
      <c r="F23" s="9">
        <f>INPUT!F142</f>
        <v>2685</v>
      </c>
      <c r="G23" s="12">
        <f>F23*110%</f>
        <v>2953.5000000000005</v>
      </c>
      <c r="H23" s="5">
        <f>INPUT!G142</f>
        <v>1882.9887000000001</v>
      </c>
      <c r="I23" s="13">
        <f>INPUT!J142</f>
        <v>70.12</v>
      </c>
      <c r="J23" s="4">
        <f>INPUT!S21</f>
        <v>1.73</v>
      </c>
      <c r="K23" s="4">
        <f>INPUT!K142</f>
        <v>1.75</v>
      </c>
      <c r="L23" s="4">
        <f t="shared" si="1"/>
        <v>2.0000000000000018E-2</v>
      </c>
      <c r="N23" s="5"/>
      <c r="O23" s="5"/>
      <c r="Q23" s="15">
        <f t="shared" si="2"/>
        <v>-802.01129999999989</v>
      </c>
      <c r="R23" s="15">
        <f t="shared" si="3"/>
        <v>-1070.5113000000003</v>
      </c>
    </row>
    <row r="24" spans="1:18" x14ac:dyDescent="0.25">
      <c r="A24" s="55"/>
      <c r="B24" s="56"/>
      <c r="C24" s="5" t="s">
        <v>35</v>
      </c>
      <c r="D24" s="4">
        <v>110</v>
      </c>
      <c r="E24" s="4">
        <f>INPUT!D143</f>
        <v>5</v>
      </c>
      <c r="F24" s="9">
        <f>INPUT!F143</f>
        <v>1521</v>
      </c>
      <c r="G24" s="12">
        <f t="shared" ref="G24:G30" si="7">F24*110%</f>
        <v>1673.1000000000001</v>
      </c>
      <c r="H24" s="5">
        <f>INPUT!G143</f>
        <v>597</v>
      </c>
      <c r="I24" s="13">
        <f>INPUT!J143</f>
        <v>39.24</v>
      </c>
      <c r="J24" s="4">
        <f>INPUT!S22</f>
        <v>1.95</v>
      </c>
      <c r="K24" s="4">
        <f>INPUT!K143</f>
        <v>1.96</v>
      </c>
      <c r="L24" s="4">
        <f t="shared" si="1"/>
        <v>1.0000000000000009E-2</v>
      </c>
      <c r="N24" s="5"/>
      <c r="O24" s="5"/>
      <c r="Q24" s="15">
        <f t="shared" si="2"/>
        <v>-924</v>
      </c>
      <c r="R24" s="15">
        <f t="shared" si="3"/>
        <v>-1076.1000000000001</v>
      </c>
    </row>
    <row r="25" spans="1:18" x14ac:dyDescent="0.25">
      <c r="A25" s="55">
        <v>8</v>
      </c>
      <c r="B25" s="56" t="s">
        <v>36</v>
      </c>
      <c r="C25" s="5" t="s">
        <v>37</v>
      </c>
      <c r="D25" s="4">
        <v>110</v>
      </c>
      <c r="E25" s="4">
        <f>INPUT!D144</f>
        <v>5</v>
      </c>
      <c r="F25" s="9">
        <f>INPUT!F144</f>
        <v>1067</v>
      </c>
      <c r="G25" s="12">
        <f t="shared" si="7"/>
        <v>1173.7</v>
      </c>
      <c r="H25" s="5">
        <f>INPUT!G144</f>
        <v>936</v>
      </c>
      <c r="I25" s="13">
        <f>INPUT!J144</f>
        <v>87.73</v>
      </c>
      <c r="J25" s="4">
        <f>INPUT!S23</f>
        <v>4.28</v>
      </c>
      <c r="K25" s="4">
        <f>INPUT!K144</f>
        <v>4.3899999999999997</v>
      </c>
      <c r="L25" s="4">
        <f t="shared" si="1"/>
        <v>0.10999999999999943</v>
      </c>
      <c r="N25" s="5"/>
      <c r="O25" s="5"/>
      <c r="Q25" s="15">
        <f t="shared" si="2"/>
        <v>-131</v>
      </c>
      <c r="R25" s="15">
        <f t="shared" si="3"/>
        <v>-237.70000000000005</v>
      </c>
    </row>
    <row r="26" spans="1:18" x14ac:dyDescent="0.25">
      <c r="A26" s="55"/>
      <c r="B26" s="56"/>
      <c r="C26" s="5" t="s">
        <v>38</v>
      </c>
      <c r="D26" s="4">
        <v>110</v>
      </c>
      <c r="E26" s="4">
        <f>INPUT!D145</f>
        <v>5</v>
      </c>
      <c r="F26" s="9">
        <f>INPUT!F145</f>
        <v>773770278</v>
      </c>
      <c r="G26" s="9">
        <f t="shared" si="7"/>
        <v>851147305.80000007</v>
      </c>
      <c r="H26" s="9">
        <f>INPUT!G145</f>
        <v>499550711</v>
      </c>
      <c r="I26" s="13">
        <f>INPUT!J145</f>
        <v>64.56</v>
      </c>
      <c r="J26" s="4">
        <f>INPUT!S24</f>
        <v>3.36</v>
      </c>
      <c r="K26" s="4">
        <f>INPUT!K145</f>
        <v>3.23</v>
      </c>
      <c r="L26" s="4">
        <f t="shared" si="1"/>
        <v>-0.12999999999999989</v>
      </c>
      <c r="N26" s="5"/>
      <c r="O26" s="5"/>
      <c r="Q26" s="15">
        <f t="shared" si="2"/>
        <v>-274219567</v>
      </c>
      <c r="R26" s="15">
        <f t="shared" si="3"/>
        <v>-351596594.80000007</v>
      </c>
    </row>
    <row r="27" spans="1:18" x14ac:dyDescent="0.25">
      <c r="A27" s="55"/>
      <c r="B27" s="56"/>
      <c r="C27" s="5" t="s">
        <v>39</v>
      </c>
      <c r="D27" s="4">
        <v>110</v>
      </c>
      <c r="E27" s="4">
        <f>INPUT!D146</f>
        <v>5</v>
      </c>
      <c r="F27" s="9">
        <f>INPUT!F146</f>
        <v>10259</v>
      </c>
      <c r="G27" s="12">
        <f t="shared" si="7"/>
        <v>11284.900000000001</v>
      </c>
      <c r="H27" s="5">
        <f>INPUT!G146</f>
        <v>3792</v>
      </c>
      <c r="I27" s="13">
        <f>INPUT!J146</f>
        <v>36.96</v>
      </c>
      <c r="J27" s="4">
        <f>INPUT!S25</f>
        <v>1.75</v>
      </c>
      <c r="K27" s="4">
        <f>INPUT!K146</f>
        <v>1.85</v>
      </c>
      <c r="L27" s="4">
        <f t="shared" si="1"/>
        <v>0.10000000000000009</v>
      </c>
      <c r="N27" s="5"/>
      <c r="O27" s="5"/>
      <c r="Q27" s="15">
        <f t="shared" si="2"/>
        <v>-6467</v>
      </c>
      <c r="R27" s="15">
        <f t="shared" si="3"/>
        <v>-7492.9000000000015</v>
      </c>
    </row>
    <row r="28" spans="1:18" x14ac:dyDescent="0.25">
      <c r="A28" s="55">
        <v>9</v>
      </c>
      <c r="B28" s="56" t="s">
        <v>40</v>
      </c>
      <c r="C28" s="26" t="s">
        <v>41</v>
      </c>
      <c r="D28" s="4">
        <v>110</v>
      </c>
      <c r="E28" s="4">
        <f>INPUT!D147</f>
        <v>2</v>
      </c>
      <c r="F28" s="9">
        <f>INPUT!F147</f>
        <v>78.760000000000005</v>
      </c>
      <c r="G28" s="5">
        <f t="shared" si="7"/>
        <v>86.63600000000001</v>
      </c>
      <c r="H28" s="5">
        <f>INPUT!G147</f>
        <v>84.48</v>
      </c>
      <c r="I28" s="13">
        <f>INPUT!J147</f>
        <v>107.26</v>
      </c>
      <c r="J28" s="4">
        <f>INPUT!S26</f>
        <v>2.14</v>
      </c>
      <c r="K28" s="4">
        <f>INPUT!K147</f>
        <v>2.15</v>
      </c>
      <c r="L28" s="4">
        <f t="shared" si="1"/>
        <v>9.9999999999997868E-3</v>
      </c>
      <c r="N28" s="5"/>
      <c r="O28" s="5"/>
      <c r="Q28" s="15">
        <f t="shared" si="2"/>
        <v>5.7199999999999989</v>
      </c>
      <c r="R28" s="15">
        <f t="shared" si="3"/>
        <v>-2.1560000000000059</v>
      </c>
    </row>
    <row r="29" spans="1:18" x14ac:dyDescent="0.25">
      <c r="A29" s="55"/>
      <c r="B29" s="56"/>
      <c r="C29" s="5" t="s">
        <v>42</v>
      </c>
      <c r="D29" s="4">
        <v>110</v>
      </c>
      <c r="E29" s="4">
        <f>INPUT!D148</f>
        <v>1.5</v>
      </c>
      <c r="F29" s="9">
        <f>INPUT!F148</f>
        <v>89612005</v>
      </c>
      <c r="G29" s="9">
        <f t="shared" si="7"/>
        <v>98573205.500000015</v>
      </c>
      <c r="H29" s="9">
        <f>INPUT!G148</f>
        <v>232396800</v>
      </c>
      <c r="I29" s="13">
        <f>INPUT!J148</f>
        <v>110</v>
      </c>
      <c r="J29" s="4">
        <f>INPUT!S27</f>
        <v>1.65</v>
      </c>
      <c r="K29" s="4">
        <f>INPUT!K148</f>
        <v>1.65</v>
      </c>
      <c r="L29" s="4">
        <f t="shared" si="1"/>
        <v>0</v>
      </c>
      <c r="N29" s="5"/>
      <c r="O29" s="5"/>
      <c r="Q29" s="15">
        <f t="shared" si="2"/>
        <v>142784795</v>
      </c>
      <c r="R29" s="15">
        <f t="shared" si="3"/>
        <v>133823594.49999999</v>
      </c>
    </row>
    <row r="30" spans="1:18" x14ac:dyDescent="0.25">
      <c r="A30" s="55"/>
      <c r="B30" s="56"/>
      <c r="C30" s="5" t="s">
        <v>43</v>
      </c>
      <c r="D30" s="4">
        <v>110</v>
      </c>
      <c r="E30" s="4">
        <f>INPUT!D149</f>
        <v>1.5</v>
      </c>
      <c r="F30" s="9">
        <f>INPUT!F149</f>
        <v>321</v>
      </c>
      <c r="G30" s="12">
        <f t="shared" si="7"/>
        <v>353.1</v>
      </c>
      <c r="H30" s="5">
        <f>INPUT!G149</f>
        <v>278.46850000000001</v>
      </c>
      <c r="I30" s="13">
        <f>INPUT!J149</f>
        <v>86.65</v>
      </c>
      <c r="J30" s="4">
        <f>INPUT!S28</f>
        <v>1.29</v>
      </c>
      <c r="K30" s="4">
        <f>INPUT!K149</f>
        <v>1.3</v>
      </c>
      <c r="L30" s="4">
        <f t="shared" si="1"/>
        <v>1.0000000000000009E-2</v>
      </c>
      <c r="N30" s="5"/>
      <c r="O30" s="5"/>
      <c r="Q30" s="15">
        <f t="shared" si="2"/>
        <v>-42.531499999999994</v>
      </c>
      <c r="R30" s="15">
        <f t="shared" si="3"/>
        <v>-74.631500000000017</v>
      </c>
    </row>
    <row r="31" spans="1:18" x14ac:dyDescent="0.25">
      <c r="A31" s="4">
        <v>10</v>
      </c>
      <c r="B31" s="5" t="s">
        <v>44</v>
      </c>
      <c r="C31" s="5" t="s">
        <v>44</v>
      </c>
      <c r="D31" s="4"/>
      <c r="E31" s="4"/>
      <c r="F31" s="9">
        <f>INPUT!F150</f>
        <v>2154951957</v>
      </c>
      <c r="G31" s="5"/>
      <c r="H31" s="9">
        <f>INPUT!G150</f>
        <v>1466083882</v>
      </c>
      <c r="I31" s="13">
        <f>INPUT!J150</f>
        <v>68.03</v>
      </c>
      <c r="J31" s="4">
        <f>INPUT!S29</f>
        <v>0</v>
      </c>
      <c r="K31" s="4">
        <f>INPUT!K150</f>
        <v>0</v>
      </c>
      <c r="L31" s="4">
        <f t="shared" si="1"/>
        <v>0</v>
      </c>
      <c r="N31" s="5"/>
      <c r="O31" s="5"/>
      <c r="Q31" s="15"/>
      <c r="R31" s="15"/>
    </row>
    <row r="32" spans="1:18" x14ac:dyDescent="0.25">
      <c r="A32" s="58" t="s">
        <v>53</v>
      </c>
      <c r="B32" s="58"/>
      <c r="C32" s="8"/>
      <c r="D32" s="7"/>
      <c r="E32" s="7">
        <f>SUM(E5:E31)</f>
        <v>100</v>
      </c>
      <c r="F32" s="8"/>
      <c r="G32" s="8"/>
      <c r="H32" s="8"/>
      <c r="I32" s="21"/>
      <c r="J32" s="7">
        <f>SUM(J5:J31)</f>
        <v>76.570000000000007</v>
      </c>
      <c r="K32" s="7">
        <f>SUM(K5:K31)</f>
        <v>78.84</v>
      </c>
      <c r="L32" s="22">
        <f>SUM(L5:L31)</f>
        <v>2.2699999999999996</v>
      </c>
      <c r="N32" s="14"/>
      <c r="O32" s="14"/>
      <c r="Q32" s="5"/>
      <c r="R32" s="5"/>
    </row>
  </sheetData>
  <sheetProtection algorithmName="SHA-512" hashValue="VIK7zU57SL2VPk56FkHiHfea3l1foG5+5l4m9KZn78QEe9Q3aO9tp1++Gr4mqn5KUPMb1JowPr46DG7qFZATWA==" saltValue="UTSs73VizL9W8k7a9sHJ5Q==" spinCount="100000" sheet="1" objects="1" scenarios="1"/>
  <mergeCells count="27">
    <mergeCell ref="Q3:R3"/>
    <mergeCell ref="A28:A30"/>
    <mergeCell ref="B28:B30"/>
    <mergeCell ref="A32:B32"/>
    <mergeCell ref="F3:G3"/>
    <mergeCell ref="H3:H4"/>
    <mergeCell ref="N3:O3"/>
    <mergeCell ref="A15:A20"/>
    <mergeCell ref="B15:B20"/>
    <mergeCell ref="A22:A24"/>
    <mergeCell ref="B22:B24"/>
    <mergeCell ref="A25:A27"/>
    <mergeCell ref="B25:B27"/>
    <mergeCell ref="J3:K3"/>
    <mergeCell ref="L3:L4"/>
    <mergeCell ref="A5:A8"/>
    <mergeCell ref="B5:B8"/>
    <mergeCell ref="A11:A14"/>
    <mergeCell ref="B11:B14"/>
    <mergeCell ref="A1:L1"/>
    <mergeCell ref="A2:L2"/>
    <mergeCell ref="A3:A4"/>
    <mergeCell ref="B3:B4"/>
    <mergeCell ref="C3:C4"/>
    <mergeCell ref="D3:D4"/>
    <mergeCell ref="E3:E4"/>
    <mergeCell ref="I3:I4"/>
  </mergeCells>
  <conditionalFormatting sqref="I5:I31">
    <cfRule type="cellIs" dxfId="24" priority="1" operator="lessThan">
      <formula>100</formula>
    </cfRule>
    <cfRule type="cellIs" dxfId="23" priority="2" operator="greaterThan">
      <formula>100</formula>
    </cfRule>
  </conditionalFormatting>
  <conditionalFormatting sqref="L5:L32">
    <cfRule type="cellIs" dxfId="22" priority="5" operator="lessThan">
      <formula>0</formula>
    </cfRule>
    <cfRule type="cellIs" dxfId="21" priority="6" operator="greaterThan">
      <formula>0</formula>
    </cfRule>
  </conditionalFormatting>
  <conditionalFormatting sqref="Q5:R30">
    <cfRule type="cellIs" dxfId="20" priority="3" operator="lessThan">
      <formula>0</formula>
    </cfRule>
    <cfRule type="cellIs" dxfId="19" priority="4" operator="greaterThan">
      <formula>0</formula>
    </cfRule>
  </conditionalFormatting>
  <pageMargins left="0.35433070866141736" right="0.11811023622047245" top="0.74803149606299213" bottom="0.74803149606299213" header="0" footer="0"/>
  <pageSetup paperSize="5" scale="7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C362-AF49-4FF8-8D5B-956F6DACAA71}">
  <dimension ref="A1:R32"/>
  <sheetViews>
    <sheetView zoomScale="98" zoomScaleNormal="60" workbookViewId="0">
      <selection activeCell="L32" sqref="L32"/>
    </sheetView>
  </sheetViews>
  <sheetFormatPr defaultRowHeight="15" x14ac:dyDescent="0.25"/>
  <cols>
    <col min="1" max="1" width="4.85546875" customWidth="1"/>
    <col min="2" max="2" width="24.85546875" bestFit="1" customWidth="1"/>
    <col min="3" max="3" width="29.85546875" bestFit="1" customWidth="1"/>
    <col min="6" max="8" width="15.28515625" bestFit="1" customWidth="1"/>
    <col min="13" max="13" width="3.28515625" customWidth="1"/>
    <col min="16" max="16" width="3.140625" customWidth="1"/>
    <col min="17" max="17" width="14.42578125" bestFit="1" customWidth="1"/>
    <col min="18" max="18" width="15.28515625" bestFit="1" customWidth="1"/>
  </cols>
  <sheetData>
    <row r="1" spans="1:18" x14ac:dyDescent="0.25">
      <c r="A1" s="59" t="s">
        <v>75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1:18" x14ac:dyDescent="0.25">
      <c r="A2" s="65">
        <f>KONSOL!A2</f>
        <v>46178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8" x14ac:dyDescent="0.25">
      <c r="A3" s="57" t="s">
        <v>0</v>
      </c>
      <c r="B3" s="57" t="s">
        <v>1</v>
      </c>
      <c r="C3" s="57" t="s">
        <v>2</v>
      </c>
      <c r="D3" s="57" t="s">
        <v>46</v>
      </c>
      <c r="E3" s="57" t="s">
        <v>3</v>
      </c>
      <c r="F3" s="61" t="s">
        <v>51</v>
      </c>
      <c r="G3" s="62"/>
      <c r="H3" s="63" t="s">
        <v>6</v>
      </c>
      <c r="I3" s="57" t="s">
        <v>55</v>
      </c>
      <c r="J3" s="57" t="s">
        <v>52</v>
      </c>
      <c r="K3" s="57"/>
      <c r="L3" s="57" t="s">
        <v>50</v>
      </c>
      <c r="M3" s="2"/>
      <c r="N3" s="58" t="s">
        <v>58</v>
      </c>
      <c r="O3" s="58"/>
      <c r="Q3" s="58" t="s">
        <v>61</v>
      </c>
      <c r="R3" s="58"/>
    </row>
    <row r="4" spans="1:18" ht="30" x14ac:dyDescent="0.25">
      <c r="A4" s="57"/>
      <c r="B4" s="57"/>
      <c r="C4" s="57"/>
      <c r="D4" s="57"/>
      <c r="E4" s="57"/>
      <c r="F4" s="3" t="s">
        <v>47</v>
      </c>
      <c r="G4" s="3" t="s">
        <v>48</v>
      </c>
      <c r="H4" s="64"/>
      <c r="I4" s="57"/>
      <c r="J4" s="3" t="s">
        <v>57</v>
      </c>
      <c r="K4" s="3" t="s">
        <v>49</v>
      </c>
      <c r="L4" s="57"/>
      <c r="M4" s="2"/>
      <c r="N4" s="7" t="s">
        <v>59</v>
      </c>
      <c r="O4" s="7" t="s">
        <v>60</v>
      </c>
      <c r="Q4" s="7" t="s">
        <v>47</v>
      </c>
      <c r="R4" s="7" t="s">
        <v>48</v>
      </c>
    </row>
    <row r="5" spans="1:18" x14ac:dyDescent="0.25">
      <c r="A5" s="55">
        <v>1</v>
      </c>
      <c r="B5" s="56" t="s">
        <v>11</v>
      </c>
      <c r="C5" s="5" t="s">
        <v>12</v>
      </c>
      <c r="D5" s="6" t="s">
        <v>54</v>
      </c>
      <c r="E5" s="4">
        <f>INPUT!D154</f>
        <v>12.5</v>
      </c>
      <c r="F5" s="9">
        <f>INPUT!F154</f>
        <v>8226946715</v>
      </c>
      <c r="G5" s="15">
        <f>F5*110%</f>
        <v>9049641386.5</v>
      </c>
      <c r="H5" s="9">
        <f>INPUT!G154</f>
        <v>10702857731</v>
      </c>
      <c r="I5" s="13">
        <f>INPUT!J154</f>
        <v>130.1</v>
      </c>
      <c r="J5" s="4">
        <f>INPUT!T3</f>
        <v>16.18</v>
      </c>
      <c r="K5" s="4">
        <f>INPUT!K154</f>
        <v>16.260000000000002</v>
      </c>
      <c r="L5" s="4">
        <f>K5-J5</f>
        <v>8.0000000000001847E-2</v>
      </c>
      <c r="N5" s="5"/>
      <c r="O5" s="5"/>
      <c r="Q5" s="15">
        <f>H5-F5</f>
        <v>2475911016</v>
      </c>
      <c r="R5" s="15">
        <f>H5-G5</f>
        <v>1653216344.5</v>
      </c>
    </row>
    <row r="6" spans="1:18" x14ac:dyDescent="0.25">
      <c r="A6" s="55"/>
      <c r="B6" s="56"/>
      <c r="C6" s="20" t="s">
        <v>13</v>
      </c>
      <c r="D6" s="4">
        <v>110</v>
      </c>
      <c r="E6" s="4"/>
      <c r="F6" s="9">
        <f>INPUT!F155</f>
        <v>348962534</v>
      </c>
      <c r="G6" s="15">
        <f t="shared" ref="G6:G14" si="0">F6*110%</f>
        <v>383858787.40000004</v>
      </c>
      <c r="H6" s="9">
        <f>INPUT!G155</f>
        <v>498264482</v>
      </c>
      <c r="I6" s="13">
        <f>INPUT!J155</f>
        <v>0</v>
      </c>
      <c r="J6" s="4">
        <f>INPUT!T4</f>
        <v>0</v>
      </c>
      <c r="K6" s="4">
        <f>INPUT!K155</f>
        <v>0</v>
      </c>
      <c r="L6" s="4">
        <f t="shared" ref="L6:L31" si="1">K6-J6</f>
        <v>0</v>
      </c>
      <c r="N6" s="5"/>
      <c r="O6" s="5"/>
      <c r="Q6" s="15">
        <f t="shared" ref="Q6:Q30" si="2">H6-F6</f>
        <v>149301948</v>
      </c>
      <c r="R6" s="15">
        <f t="shared" ref="R6:R30" si="3">H6-G6</f>
        <v>114405694.59999996</v>
      </c>
    </row>
    <row r="7" spans="1:18" x14ac:dyDescent="0.25">
      <c r="A7" s="55"/>
      <c r="B7" s="56"/>
      <c r="C7" s="5" t="s">
        <v>14</v>
      </c>
      <c r="D7" s="6" t="s">
        <v>54</v>
      </c>
      <c r="E7" s="4">
        <f>INPUT!D156</f>
        <v>10</v>
      </c>
      <c r="F7" s="9">
        <f>INPUT!F156</f>
        <v>2123756680</v>
      </c>
      <c r="G7" s="15">
        <f t="shared" si="0"/>
        <v>2336132348</v>
      </c>
      <c r="H7" s="9">
        <f>INPUT!G156</f>
        <v>1283628662</v>
      </c>
      <c r="I7" s="13">
        <f>INPUT!J156</f>
        <v>60.44</v>
      </c>
      <c r="J7" s="4">
        <f>INPUT!T5</f>
        <v>6</v>
      </c>
      <c r="K7" s="4">
        <f>INPUT!K156</f>
        <v>6.04</v>
      </c>
      <c r="L7" s="4">
        <f t="shared" si="1"/>
        <v>4.0000000000000036E-2</v>
      </c>
      <c r="N7" s="5"/>
      <c r="O7" s="5"/>
      <c r="Q7" s="15">
        <f t="shared" si="2"/>
        <v>-840128018</v>
      </c>
      <c r="R7" s="15">
        <f t="shared" si="3"/>
        <v>-1052503686</v>
      </c>
    </row>
    <row r="8" spans="1:18" x14ac:dyDescent="0.25">
      <c r="A8" s="55"/>
      <c r="B8" s="56"/>
      <c r="C8" s="5" t="s">
        <v>15</v>
      </c>
      <c r="D8" s="4">
        <v>110</v>
      </c>
      <c r="E8" s="4">
        <f>INPUT!D157</f>
        <v>5</v>
      </c>
      <c r="F8" s="9">
        <f>INPUT!F157</f>
        <v>10848655273</v>
      </c>
      <c r="G8" s="15">
        <f t="shared" si="0"/>
        <v>11933520800.300001</v>
      </c>
      <c r="H8" s="9">
        <f>INPUT!G157</f>
        <v>13220402907</v>
      </c>
      <c r="I8" s="13">
        <f>INPUT!J157</f>
        <v>110</v>
      </c>
      <c r="J8" s="4">
        <f>INPUT!T6</f>
        <v>5.5</v>
      </c>
      <c r="K8" s="4">
        <f>INPUT!K157</f>
        <v>5.5</v>
      </c>
      <c r="L8" s="4">
        <f t="shared" si="1"/>
        <v>0</v>
      </c>
      <c r="N8" s="5"/>
      <c r="O8" s="5"/>
      <c r="Q8" s="15">
        <f t="shared" si="2"/>
        <v>2371747634</v>
      </c>
      <c r="R8" s="15">
        <f t="shared" si="3"/>
        <v>1286882106.6999989</v>
      </c>
    </row>
    <row r="9" spans="1:18" x14ac:dyDescent="0.25">
      <c r="A9" s="4">
        <v>2</v>
      </c>
      <c r="B9" s="5" t="s">
        <v>16</v>
      </c>
      <c r="C9" s="5" t="s">
        <v>16</v>
      </c>
      <c r="D9" s="4">
        <v>110</v>
      </c>
      <c r="E9" s="4">
        <f>INPUT!D158</f>
        <v>10</v>
      </c>
      <c r="F9" s="9">
        <f>INPUT!F158</f>
        <v>1660074089</v>
      </c>
      <c r="G9" s="15">
        <f t="shared" si="0"/>
        <v>1826081497.9000001</v>
      </c>
      <c r="H9" s="9">
        <f>INPUT!G158</f>
        <v>721635315.75450003</v>
      </c>
      <c r="I9" s="13">
        <f>INPUT!J158</f>
        <v>43.47</v>
      </c>
      <c r="J9" s="4">
        <f>INPUT!T7</f>
        <v>4.3499999999999996</v>
      </c>
      <c r="K9" s="4">
        <f>INPUT!K158</f>
        <v>4.3499999999999996</v>
      </c>
      <c r="L9" s="4">
        <f t="shared" si="1"/>
        <v>0</v>
      </c>
      <c r="N9" s="5"/>
      <c r="O9" s="5"/>
      <c r="Q9" s="15">
        <f t="shared" si="2"/>
        <v>-938438773.24549997</v>
      </c>
      <c r="R9" s="15">
        <f t="shared" si="3"/>
        <v>-1104446182.1455002</v>
      </c>
    </row>
    <row r="10" spans="1:18" x14ac:dyDescent="0.25">
      <c r="A10" s="4">
        <v>3</v>
      </c>
      <c r="B10" s="5" t="s">
        <v>17</v>
      </c>
      <c r="C10" s="20" t="s">
        <v>17</v>
      </c>
      <c r="D10" s="4">
        <v>110</v>
      </c>
      <c r="E10" s="4"/>
      <c r="F10" s="9">
        <f>INPUT!F159</f>
        <v>0</v>
      </c>
      <c r="G10" s="15">
        <f t="shared" si="0"/>
        <v>0</v>
      </c>
      <c r="H10" s="9">
        <f>INPUT!G159</f>
        <v>24.96</v>
      </c>
      <c r="I10" s="13">
        <f>INPUT!J159</f>
        <v>0</v>
      </c>
      <c r="J10" s="4">
        <f>INPUT!T8</f>
        <v>0</v>
      </c>
      <c r="K10" s="4">
        <f>INPUT!K159</f>
        <v>0</v>
      </c>
      <c r="L10" s="4">
        <f t="shared" si="1"/>
        <v>0</v>
      </c>
      <c r="N10" s="5"/>
      <c r="O10" s="5"/>
      <c r="Q10" s="15">
        <f t="shared" si="2"/>
        <v>24.96</v>
      </c>
      <c r="R10" s="15">
        <f t="shared" si="3"/>
        <v>24.96</v>
      </c>
    </row>
    <row r="11" spans="1:18" x14ac:dyDescent="0.25">
      <c r="A11" s="55">
        <v>4</v>
      </c>
      <c r="B11" s="56" t="s">
        <v>18</v>
      </c>
      <c r="C11" s="5" t="s">
        <v>19</v>
      </c>
      <c r="D11" s="4">
        <v>110</v>
      </c>
      <c r="E11" s="4">
        <f>INPUT!D160</f>
        <v>5</v>
      </c>
      <c r="F11" s="9">
        <f>INPUT!F160</f>
        <v>1197</v>
      </c>
      <c r="G11" s="15">
        <f t="shared" si="0"/>
        <v>1316.7</v>
      </c>
      <c r="H11" s="9">
        <f>INPUT!G160</f>
        <v>339</v>
      </c>
      <c r="I11" s="13">
        <f>INPUT!J160</f>
        <v>28.31</v>
      </c>
      <c r="J11" s="4">
        <f>INPUT!T9</f>
        <v>0.94</v>
      </c>
      <c r="K11" s="4">
        <f>INPUT!K160</f>
        <v>1.42</v>
      </c>
      <c r="L11" s="4">
        <f t="shared" si="1"/>
        <v>0.48</v>
      </c>
      <c r="N11" s="5"/>
      <c r="O11" s="5"/>
      <c r="Q11" s="15">
        <f t="shared" si="2"/>
        <v>-858</v>
      </c>
      <c r="R11" s="15">
        <f t="shared" si="3"/>
        <v>-977.7</v>
      </c>
    </row>
    <row r="12" spans="1:18" x14ac:dyDescent="0.25">
      <c r="A12" s="55"/>
      <c r="B12" s="56"/>
      <c r="C12" s="5" t="s">
        <v>20</v>
      </c>
      <c r="D12" s="4">
        <v>110</v>
      </c>
      <c r="E12" s="4">
        <f>INPUT!D161</f>
        <v>2.5</v>
      </c>
      <c r="F12" s="9">
        <f>INPUT!F161</f>
        <v>108</v>
      </c>
      <c r="G12" s="15">
        <f t="shared" si="0"/>
        <v>118.80000000000001</v>
      </c>
      <c r="H12" s="9">
        <f>INPUT!G161</f>
        <v>58</v>
      </c>
      <c r="I12" s="13">
        <f>INPUT!J161</f>
        <v>53.56</v>
      </c>
      <c r="J12" s="4">
        <f>INPUT!T10</f>
        <v>1.29</v>
      </c>
      <c r="K12" s="4">
        <f>INPUT!K161</f>
        <v>1.34</v>
      </c>
      <c r="L12" s="4">
        <f t="shared" si="1"/>
        <v>5.0000000000000044E-2</v>
      </c>
      <c r="N12" s="5"/>
      <c r="O12" s="5"/>
      <c r="Q12" s="15">
        <f t="shared" si="2"/>
        <v>-50</v>
      </c>
      <c r="R12" s="15">
        <f t="shared" si="3"/>
        <v>-60.800000000000011</v>
      </c>
    </row>
    <row r="13" spans="1:18" x14ac:dyDescent="0.25">
      <c r="A13" s="55"/>
      <c r="B13" s="56"/>
      <c r="C13" s="5" t="s">
        <v>21</v>
      </c>
      <c r="D13" s="4">
        <v>110</v>
      </c>
      <c r="E13" s="4">
        <f>INPUT!D162</f>
        <v>5</v>
      </c>
      <c r="F13" s="9">
        <f>INPUT!F162</f>
        <v>3048</v>
      </c>
      <c r="G13" s="15">
        <f t="shared" si="0"/>
        <v>3352.8</v>
      </c>
      <c r="H13" s="9">
        <f>INPUT!G162</f>
        <v>1985</v>
      </c>
      <c r="I13" s="13">
        <f>INPUT!J162</f>
        <v>65.12</v>
      </c>
      <c r="J13" s="4">
        <f>INPUT!T11</f>
        <v>3</v>
      </c>
      <c r="K13" s="4">
        <f>INPUT!K162</f>
        <v>3.26</v>
      </c>
      <c r="L13" s="4">
        <f t="shared" si="1"/>
        <v>0.25999999999999979</v>
      </c>
      <c r="N13" s="5"/>
      <c r="O13" s="5"/>
      <c r="Q13" s="15">
        <f t="shared" si="2"/>
        <v>-1063</v>
      </c>
      <c r="R13" s="15">
        <f t="shared" si="3"/>
        <v>-1367.8000000000002</v>
      </c>
    </row>
    <row r="14" spans="1:18" x14ac:dyDescent="0.25">
      <c r="A14" s="55"/>
      <c r="B14" s="56"/>
      <c r="C14" s="5" t="s">
        <v>22</v>
      </c>
      <c r="D14" s="4">
        <v>110</v>
      </c>
      <c r="E14" s="4">
        <f>INPUT!D163</f>
        <v>5</v>
      </c>
      <c r="F14" s="9">
        <f>INPUT!F163</f>
        <v>136</v>
      </c>
      <c r="G14" s="15">
        <f t="shared" si="0"/>
        <v>149.60000000000002</v>
      </c>
      <c r="H14" s="9">
        <f>INPUT!G163</f>
        <v>124</v>
      </c>
      <c r="I14" s="13">
        <f>INPUT!J163</f>
        <v>91.03</v>
      </c>
      <c r="J14" s="4">
        <f>INPUT!T12</f>
        <v>4.59</v>
      </c>
      <c r="K14" s="4">
        <f>INPUT!K163</f>
        <v>4.55</v>
      </c>
      <c r="L14" s="4">
        <f t="shared" si="1"/>
        <v>-4.0000000000000036E-2</v>
      </c>
      <c r="N14" s="5"/>
      <c r="O14" s="5"/>
      <c r="Q14" s="15">
        <f t="shared" si="2"/>
        <v>-12</v>
      </c>
      <c r="R14" s="15">
        <f t="shared" si="3"/>
        <v>-25.600000000000023</v>
      </c>
    </row>
    <row r="15" spans="1:18" x14ac:dyDescent="0.25">
      <c r="A15" s="55">
        <v>5</v>
      </c>
      <c r="B15" s="56" t="s">
        <v>23</v>
      </c>
      <c r="C15" s="5" t="s">
        <v>24</v>
      </c>
      <c r="D15" s="4">
        <v>110</v>
      </c>
      <c r="E15" s="4">
        <f>INPUT!D164</f>
        <v>3</v>
      </c>
      <c r="F15" s="27">
        <f>INPUT!F164</f>
        <v>0.31</v>
      </c>
      <c r="G15" s="10">
        <f>F15-(F15*10%)</f>
        <v>0.27900000000000003</v>
      </c>
      <c r="H15" s="9">
        <f>INPUT!G164</f>
        <v>0</v>
      </c>
      <c r="I15" s="13">
        <f>INPUT!J164</f>
        <v>110</v>
      </c>
      <c r="J15" s="4">
        <f>INPUT!T13</f>
        <v>3.3</v>
      </c>
      <c r="K15" s="4">
        <f>INPUT!K164</f>
        <v>3.3</v>
      </c>
      <c r="L15" s="4">
        <f t="shared" si="1"/>
        <v>0</v>
      </c>
      <c r="N15" s="5"/>
      <c r="O15" s="5"/>
      <c r="Q15" s="24">
        <f>F15-H15</f>
        <v>0.31</v>
      </c>
      <c r="R15" s="24">
        <f>G15-H15</f>
        <v>0.27900000000000003</v>
      </c>
    </row>
    <row r="16" spans="1:18" x14ac:dyDescent="0.25">
      <c r="A16" s="55"/>
      <c r="B16" s="56"/>
      <c r="C16" s="5" t="s">
        <v>25</v>
      </c>
      <c r="D16" s="4">
        <v>110</v>
      </c>
      <c r="E16" s="4">
        <f>INPUT!D165</f>
        <v>2</v>
      </c>
      <c r="F16" s="27">
        <f>INPUT!F165</f>
        <v>14.97</v>
      </c>
      <c r="G16" s="10">
        <f t="shared" ref="G16:G20" si="4">F16-(F16*10%)</f>
        <v>13.473000000000001</v>
      </c>
      <c r="H16" s="9">
        <f>INPUT!G165</f>
        <v>5.54</v>
      </c>
      <c r="I16" s="13">
        <f>INPUT!J165</f>
        <v>110</v>
      </c>
      <c r="J16" s="4">
        <f>INPUT!T14</f>
        <v>2.2000000000000002</v>
      </c>
      <c r="K16" s="4">
        <f>INPUT!K165</f>
        <v>2.2000000000000002</v>
      </c>
      <c r="L16" s="4">
        <f t="shared" si="1"/>
        <v>0</v>
      </c>
      <c r="N16" s="5"/>
      <c r="O16" s="5"/>
      <c r="Q16" s="24">
        <f t="shared" ref="Q16:Q20" si="5">F16-H16</f>
        <v>9.43</v>
      </c>
      <c r="R16" s="24">
        <f t="shared" ref="R16:R20" si="6">G16-H16</f>
        <v>7.9330000000000007</v>
      </c>
    </row>
    <row r="17" spans="1:18" x14ac:dyDescent="0.25">
      <c r="A17" s="55"/>
      <c r="B17" s="56"/>
      <c r="C17" s="5" t="s">
        <v>26</v>
      </c>
      <c r="D17" s="4">
        <v>110</v>
      </c>
      <c r="E17" s="4">
        <f>INPUT!D166</f>
        <v>2.5</v>
      </c>
      <c r="F17" s="27">
        <f>INPUT!F166</f>
        <v>0.87</v>
      </c>
      <c r="G17" s="10">
        <f t="shared" si="4"/>
        <v>0.78300000000000003</v>
      </c>
      <c r="H17" s="9">
        <f>INPUT!G166</f>
        <v>0</v>
      </c>
      <c r="I17" s="13">
        <f>INPUT!J166</f>
        <v>110</v>
      </c>
      <c r="J17" s="4">
        <f>INPUT!T15</f>
        <v>2.75</v>
      </c>
      <c r="K17" s="4">
        <f>INPUT!K166</f>
        <v>2.75</v>
      </c>
      <c r="L17" s="4">
        <f t="shared" si="1"/>
        <v>0</v>
      </c>
      <c r="N17" s="5"/>
      <c r="O17" s="5"/>
      <c r="Q17" s="24">
        <f t="shared" si="5"/>
        <v>0.87</v>
      </c>
      <c r="R17" s="24">
        <f t="shared" si="6"/>
        <v>0.78300000000000003</v>
      </c>
    </row>
    <row r="18" spans="1:18" x14ac:dyDescent="0.25">
      <c r="A18" s="55"/>
      <c r="B18" s="56"/>
      <c r="C18" s="5" t="s">
        <v>27</v>
      </c>
      <c r="D18" s="4">
        <v>110</v>
      </c>
      <c r="E18" s="4">
        <f>INPUT!D167</f>
        <v>3</v>
      </c>
      <c r="F18" s="27">
        <f>INPUT!F167</f>
        <v>2.75</v>
      </c>
      <c r="G18" s="10">
        <f t="shared" si="4"/>
        <v>2.4750000000000001</v>
      </c>
      <c r="H18" s="9">
        <f>INPUT!G167</f>
        <v>5.62</v>
      </c>
      <c r="I18" s="13">
        <f>INPUT!J167</f>
        <v>49.01</v>
      </c>
      <c r="J18" s="4">
        <f>INPUT!T16</f>
        <v>3.3</v>
      </c>
      <c r="K18" s="4">
        <f>INPUT!K167</f>
        <v>1.47</v>
      </c>
      <c r="L18" s="4">
        <f t="shared" si="1"/>
        <v>-1.8299999999999998</v>
      </c>
      <c r="N18" s="5"/>
      <c r="O18" s="5"/>
      <c r="Q18" s="24">
        <f t="shared" si="5"/>
        <v>-2.87</v>
      </c>
      <c r="R18" s="24">
        <f t="shared" si="6"/>
        <v>-3.145</v>
      </c>
    </row>
    <row r="19" spans="1:18" x14ac:dyDescent="0.25">
      <c r="A19" s="55"/>
      <c r="B19" s="56"/>
      <c r="C19" s="5" t="s">
        <v>28</v>
      </c>
      <c r="D19" s="4">
        <v>110</v>
      </c>
      <c r="E19" s="4">
        <f>INPUT!D168</f>
        <v>2</v>
      </c>
      <c r="F19" s="27">
        <f>INPUT!F168</f>
        <v>23.86</v>
      </c>
      <c r="G19" s="10">
        <f t="shared" si="4"/>
        <v>21.474</v>
      </c>
      <c r="H19" s="9">
        <f>INPUT!G168</f>
        <v>30.5</v>
      </c>
      <c r="I19" s="13">
        <f>INPUT!J168</f>
        <v>78.239999999999995</v>
      </c>
      <c r="J19" s="4">
        <f>INPUT!T17</f>
        <v>0.73</v>
      </c>
      <c r="K19" s="4">
        <f>INPUT!K168</f>
        <v>1.56</v>
      </c>
      <c r="L19" s="4">
        <f t="shared" si="1"/>
        <v>0.83000000000000007</v>
      </c>
      <c r="N19" s="5"/>
      <c r="O19" s="5"/>
      <c r="Q19" s="24">
        <f t="shared" si="5"/>
        <v>-6.6400000000000006</v>
      </c>
      <c r="R19" s="24">
        <f t="shared" si="6"/>
        <v>-9.0259999999999998</v>
      </c>
    </row>
    <row r="20" spans="1:18" x14ac:dyDescent="0.25">
      <c r="A20" s="55"/>
      <c r="B20" s="56"/>
      <c r="C20" s="5" t="s">
        <v>29</v>
      </c>
      <c r="D20" s="4">
        <v>110</v>
      </c>
      <c r="E20" s="4">
        <f>INPUT!D169</f>
        <v>2.5</v>
      </c>
      <c r="F20" s="27">
        <f>INPUT!F169</f>
        <v>11.04</v>
      </c>
      <c r="G20" s="10">
        <f t="shared" si="4"/>
        <v>9.9359999999999999</v>
      </c>
      <c r="H20" s="9">
        <f>INPUT!G169</f>
        <v>8.61</v>
      </c>
      <c r="I20" s="13">
        <f>INPUT!J169</f>
        <v>110</v>
      </c>
      <c r="J20" s="4">
        <f>INPUT!T18</f>
        <v>2.75</v>
      </c>
      <c r="K20" s="4">
        <f>INPUT!K169</f>
        <v>2.75</v>
      </c>
      <c r="L20" s="4">
        <f t="shared" si="1"/>
        <v>0</v>
      </c>
      <c r="N20" s="5"/>
      <c r="O20" s="5"/>
      <c r="Q20" s="24">
        <f t="shared" si="5"/>
        <v>2.4299999999999997</v>
      </c>
      <c r="R20" s="24">
        <f t="shared" si="6"/>
        <v>1.3260000000000005</v>
      </c>
    </row>
    <row r="21" spans="1:18" x14ac:dyDescent="0.25">
      <c r="A21" s="4">
        <v>6</v>
      </c>
      <c r="B21" s="5" t="s">
        <v>30</v>
      </c>
      <c r="C21" s="20" t="s">
        <v>31</v>
      </c>
      <c r="D21" s="4">
        <v>110</v>
      </c>
      <c r="E21" s="4"/>
      <c r="F21" s="9">
        <f>INPUT!F170</f>
        <v>0</v>
      </c>
      <c r="G21" s="5"/>
      <c r="H21" s="9">
        <f>INPUT!G170</f>
        <v>0</v>
      </c>
      <c r="I21" s="13">
        <f>INPUT!J170</f>
        <v>0</v>
      </c>
      <c r="J21" s="4">
        <f>INPUT!T19</f>
        <v>0</v>
      </c>
      <c r="K21" s="4">
        <f>INPUT!K170</f>
        <v>0</v>
      </c>
      <c r="L21" s="4">
        <f t="shared" si="1"/>
        <v>0</v>
      </c>
      <c r="N21" s="5"/>
      <c r="O21" s="5"/>
      <c r="Q21" s="15">
        <f t="shared" si="2"/>
        <v>0</v>
      </c>
      <c r="R21" s="15">
        <f t="shared" si="3"/>
        <v>0</v>
      </c>
    </row>
    <row r="22" spans="1:18" x14ac:dyDescent="0.25">
      <c r="A22" s="55">
        <v>7</v>
      </c>
      <c r="B22" s="56" t="s">
        <v>32</v>
      </c>
      <c r="C22" s="26" t="s">
        <v>33</v>
      </c>
      <c r="D22" s="6" t="s">
        <v>54</v>
      </c>
      <c r="E22" s="4">
        <f>INPUT!D171</f>
        <v>2.5</v>
      </c>
      <c r="F22" s="9">
        <f>INPUT!F171</f>
        <v>321</v>
      </c>
      <c r="G22" s="12">
        <f>F22*110%</f>
        <v>353.1</v>
      </c>
      <c r="H22" s="9">
        <f>INPUT!G171</f>
        <v>129</v>
      </c>
      <c r="I22" s="13">
        <f>INPUT!J171</f>
        <v>40.130000000000003</v>
      </c>
      <c r="J22" s="4">
        <f>INPUT!T20</f>
        <v>1.1200000000000001</v>
      </c>
      <c r="K22" s="4">
        <f>INPUT!K171</f>
        <v>1</v>
      </c>
      <c r="L22" s="4">
        <f t="shared" si="1"/>
        <v>-0.12000000000000011</v>
      </c>
      <c r="N22" s="5"/>
      <c r="O22" s="5"/>
      <c r="Q22" s="15">
        <f t="shared" si="2"/>
        <v>-192</v>
      </c>
      <c r="R22" s="15">
        <f t="shared" si="3"/>
        <v>-224.10000000000002</v>
      </c>
    </row>
    <row r="23" spans="1:18" x14ac:dyDescent="0.25">
      <c r="A23" s="55"/>
      <c r="B23" s="56"/>
      <c r="C23" s="5" t="s">
        <v>34</v>
      </c>
      <c r="D23" s="4">
        <v>110</v>
      </c>
      <c r="E23" s="4">
        <f>INPUT!D172</f>
        <v>2.5</v>
      </c>
      <c r="F23" s="9">
        <f>INPUT!F172</f>
        <v>1505</v>
      </c>
      <c r="G23" s="12">
        <f>F23*110%</f>
        <v>1655.5000000000002</v>
      </c>
      <c r="H23" s="9">
        <f>INPUT!G172</f>
        <v>875.45050000000003</v>
      </c>
      <c r="I23" s="13">
        <f>INPUT!J172</f>
        <v>58.18</v>
      </c>
      <c r="J23" s="4">
        <f>INPUT!T21</f>
        <v>1.47</v>
      </c>
      <c r="K23" s="4">
        <f>INPUT!K172</f>
        <v>1.45</v>
      </c>
      <c r="L23" s="4">
        <f t="shared" si="1"/>
        <v>-2.0000000000000018E-2</v>
      </c>
      <c r="N23" s="5"/>
      <c r="O23" s="5"/>
      <c r="Q23" s="15">
        <f t="shared" si="2"/>
        <v>-629.54949999999997</v>
      </c>
      <c r="R23" s="15">
        <f t="shared" si="3"/>
        <v>-780.04950000000019</v>
      </c>
    </row>
    <row r="24" spans="1:18" x14ac:dyDescent="0.25">
      <c r="A24" s="55"/>
      <c r="B24" s="56"/>
      <c r="C24" s="5" t="s">
        <v>35</v>
      </c>
      <c r="D24" s="4">
        <v>110</v>
      </c>
      <c r="E24" s="4">
        <f>INPUT!D173</f>
        <v>5</v>
      </c>
      <c r="F24" s="9">
        <f>INPUT!F173</f>
        <v>129</v>
      </c>
      <c r="G24" s="12">
        <f t="shared" ref="G24:G30" si="7">F24*110%</f>
        <v>141.9</v>
      </c>
      <c r="H24" s="9">
        <f>INPUT!G173</f>
        <v>410.5</v>
      </c>
      <c r="I24" s="13">
        <f>INPUT!J173</f>
        <v>31.81</v>
      </c>
      <c r="J24" s="4">
        <f>INPUT!T22</f>
        <v>1.48</v>
      </c>
      <c r="K24" s="4">
        <f>INPUT!K173</f>
        <v>1.59</v>
      </c>
      <c r="L24" s="4">
        <f t="shared" si="1"/>
        <v>0.1100000000000001</v>
      </c>
      <c r="N24" s="5"/>
      <c r="O24" s="5"/>
      <c r="Q24" s="15">
        <f t="shared" si="2"/>
        <v>281.5</v>
      </c>
      <c r="R24" s="15">
        <f t="shared" si="3"/>
        <v>268.60000000000002</v>
      </c>
    </row>
    <row r="25" spans="1:18" x14ac:dyDescent="0.25">
      <c r="A25" s="55">
        <v>8</v>
      </c>
      <c r="B25" s="56" t="s">
        <v>36</v>
      </c>
      <c r="C25" s="5" t="s">
        <v>37</v>
      </c>
      <c r="D25" s="4">
        <v>110</v>
      </c>
      <c r="E25" s="4">
        <f>INPUT!D174</f>
        <v>5</v>
      </c>
      <c r="F25" s="9">
        <f>INPUT!F174</f>
        <v>902</v>
      </c>
      <c r="G25" s="12">
        <f t="shared" si="7"/>
        <v>992.2</v>
      </c>
      <c r="H25" s="9">
        <f>INPUT!G174</f>
        <v>377</v>
      </c>
      <c r="I25" s="13">
        <f>INPUT!J174</f>
        <v>41.82</v>
      </c>
      <c r="J25" s="4">
        <f>INPUT!T23</f>
        <v>2.02</v>
      </c>
      <c r="K25" s="4">
        <f>INPUT!K174</f>
        <v>2.09</v>
      </c>
      <c r="L25" s="4">
        <f t="shared" si="1"/>
        <v>6.999999999999984E-2</v>
      </c>
      <c r="N25" s="5"/>
      <c r="O25" s="5"/>
      <c r="Q25" s="15">
        <f t="shared" si="2"/>
        <v>-525</v>
      </c>
      <c r="R25" s="15">
        <f t="shared" si="3"/>
        <v>-615.20000000000005</v>
      </c>
    </row>
    <row r="26" spans="1:18" x14ac:dyDescent="0.25">
      <c r="A26" s="55"/>
      <c r="B26" s="56"/>
      <c r="C26" s="5" t="s">
        <v>38</v>
      </c>
      <c r="D26" s="4">
        <v>110</v>
      </c>
      <c r="E26" s="4">
        <f>INPUT!D175</f>
        <v>5</v>
      </c>
      <c r="F26" s="9">
        <f>INPUT!F175</f>
        <v>773770278</v>
      </c>
      <c r="G26" s="9">
        <f t="shared" si="7"/>
        <v>851147305.80000007</v>
      </c>
      <c r="H26" s="9">
        <f>INPUT!G175</f>
        <v>248578403</v>
      </c>
      <c r="I26" s="13">
        <f>INPUT!J175</f>
        <v>32.130000000000003</v>
      </c>
      <c r="J26" s="4">
        <f>INPUT!T24</f>
        <v>1.6</v>
      </c>
      <c r="K26" s="4">
        <f>INPUT!K175</f>
        <v>1.61</v>
      </c>
      <c r="L26" s="4">
        <f t="shared" si="1"/>
        <v>1.0000000000000009E-2</v>
      </c>
      <c r="N26" s="5"/>
      <c r="O26" s="5"/>
      <c r="Q26" s="15">
        <f t="shared" si="2"/>
        <v>-525191875</v>
      </c>
      <c r="R26" s="15">
        <f t="shared" si="3"/>
        <v>-602568902.80000007</v>
      </c>
    </row>
    <row r="27" spans="1:18" x14ac:dyDescent="0.25">
      <c r="A27" s="55"/>
      <c r="B27" s="56"/>
      <c r="C27" s="5" t="s">
        <v>39</v>
      </c>
      <c r="D27" s="4">
        <v>110</v>
      </c>
      <c r="E27" s="4">
        <f>INPUT!D176</f>
        <v>5</v>
      </c>
      <c r="F27" s="9">
        <f>INPUT!F176</f>
        <v>8126</v>
      </c>
      <c r="G27" s="12">
        <f t="shared" si="7"/>
        <v>8938.6</v>
      </c>
      <c r="H27" s="9">
        <f>INPUT!G176</f>
        <v>1630</v>
      </c>
      <c r="I27" s="13">
        <f>INPUT!J176</f>
        <v>20.059999999999999</v>
      </c>
      <c r="J27" s="4">
        <f>INPUT!T25</f>
        <v>0.92</v>
      </c>
      <c r="K27" s="4">
        <f>INPUT!K176</f>
        <v>1</v>
      </c>
      <c r="L27" s="4">
        <f t="shared" si="1"/>
        <v>7.999999999999996E-2</v>
      </c>
      <c r="N27" s="5"/>
      <c r="O27" s="5"/>
      <c r="Q27" s="15">
        <f t="shared" si="2"/>
        <v>-6496</v>
      </c>
      <c r="R27" s="15">
        <f t="shared" si="3"/>
        <v>-7308.6</v>
      </c>
    </row>
    <row r="28" spans="1:18" x14ac:dyDescent="0.25">
      <c r="A28" s="55">
        <v>9</v>
      </c>
      <c r="B28" s="56" t="s">
        <v>40</v>
      </c>
      <c r="C28" s="26" t="s">
        <v>41</v>
      </c>
      <c r="D28" s="4">
        <v>110</v>
      </c>
      <c r="E28" s="4">
        <f>INPUT!D177</f>
        <v>2</v>
      </c>
      <c r="F28" s="9">
        <f>INPUT!F177</f>
        <v>78.760000000000005</v>
      </c>
      <c r="G28" s="5">
        <f t="shared" si="7"/>
        <v>86.63600000000001</v>
      </c>
      <c r="H28" s="9">
        <f>INPUT!G177</f>
        <v>89.09</v>
      </c>
      <c r="I28" s="13">
        <f>INPUT!J177</f>
        <v>110</v>
      </c>
      <c r="J28" s="4">
        <f>INPUT!T26</f>
        <v>2.2000000000000002</v>
      </c>
      <c r="K28" s="4">
        <f>INPUT!K177</f>
        <v>2.2000000000000002</v>
      </c>
      <c r="L28" s="4">
        <f t="shared" si="1"/>
        <v>0</v>
      </c>
      <c r="N28" s="5"/>
      <c r="O28" s="5"/>
      <c r="Q28" s="15">
        <f t="shared" si="2"/>
        <v>10.329999999999998</v>
      </c>
      <c r="R28" s="15">
        <f t="shared" si="3"/>
        <v>2.4539999999999935</v>
      </c>
    </row>
    <row r="29" spans="1:18" x14ac:dyDescent="0.25">
      <c r="A29" s="55"/>
      <c r="B29" s="56"/>
      <c r="C29" s="5" t="s">
        <v>42</v>
      </c>
      <c r="D29" s="4">
        <v>110</v>
      </c>
      <c r="E29" s="4">
        <f>INPUT!D178</f>
        <v>1.5</v>
      </c>
      <c r="F29" s="9">
        <f>INPUT!F178</f>
        <v>89612005</v>
      </c>
      <c r="G29" s="9">
        <f t="shared" si="7"/>
        <v>98573205.500000015</v>
      </c>
      <c r="H29" s="9">
        <f>INPUT!G178</f>
        <v>232844750</v>
      </c>
      <c r="I29" s="13">
        <f>INPUT!J178</f>
        <v>110</v>
      </c>
      <c r="J29" s="4">
        <f>INPUT!T27</f>
        <v>1.65</v>
      </c>
      <c r="K29" s="4">
        <f>INPUT!K178</f>
        <v>1.65</v>
      </c>
      <c r="L29" s="4">
        <f t="shared" si="1"/>
        <v>0</v>
      </c>
      <c r="N29" s="5"/>
      <c r="O29" s="5"/>
      <c r="Q29" s="15">
        <f t="shared" si="2"/>
        <v>143232745</v>
      </c>
      <c r="R29" s="15">
        <f t="shared" si="3"/>
        <v>134271544.5</v>
      </c>
    </row>
    <row r="30" spans="1:18" x14ac:dyDescent="0.25">
      <c r="A30" s="55"/>
      <c r="B30" s="56"/>
      <c r="C30" s="5" t="s">
        <v>43</v>
      </c>
      <c r="D30" s="4">
        <v>110</v>
      </c>
      <c r="E30" s="4">
        <f>INPUT!D179</f>
        <v>1.5</v>
      </c>
      <c r="F30" s="9">
        <f>INPUT!F179</f>
        <v>216</v>
      </c>
      <c r="G30" s="12">
        <f t="shared" si="7"/>
        <v>237.60000000000002</v>
      </c>
      <c r="H30" s="9">
        <f>INPUT!G179</f>
        <v>135.81030000000001</v>
      </c>
      <c r="I30" s="13">
        <f>INPUT!J179</f>
        <v>62.88</v>
      </c>
      <c r="J30" s="4">
        <f>INPUT!T28</f>
        <v>0.9</v>
      </c>
      <c r="K30" s="4">
        <f>INPUT!K179</f>
        <v>0.94</v>
      </c>
      <c r="L30" s="4">
        <f t="shared" si="1"/>
        <v>3.9999999999999925E-2</v>
      </c>
      <c r="N30" s="5"/>
      <c r="O30" s="5"/>
      <c r="Q30" s="15">
        <f t="shared" si="2"/>
        <v>-80.189699999999988</v>
      </c>
      <c r="R30" s="15">
        <f t="shared" si="3"/>
        <v>-101.78970000000001</v>
      </c>
    </row>
    <row r="31" spans="1:18" x14ac:dyDescent="0.25">
      <c r="A31" s="4">
        <v>10</v>
      </c>
      <c r="B31" s="5" t="s">
        <v>44</v>
      </c>
      <c r="C31" s="5" t="s">
        <v>44</v>
      </c>
      <c r="D31" s="4"/>
      <c r="E31" s="4"/>
      <c r="F31" s="9">
        <f>INPUT!F180</f>
        <v>2245564130</v>
      </c>
      <c r="G31" s="5"/>
      <c r="H31" s="9">
        <f>INPUT!G180</f>
        <v>1225719385</v>
      </c>
      <c r="I31" s="13">
        <f>INPUT!J180</f>
        <v>54.58</v>
      </c>
      <c r="J31" s="4">
        <f>INPUT!T29</f>
        <v>0</v>
      </c>
      <c r="K31" s="4">
        <f>INPUT!K180</f>
        <v>0</v>
      </c>
      <c r="L31" s="4">
        <f t="shared" si="1"/>
        <v>0</v>
      </c>
      <c r="N31" s="5"/>
      <c r="O31" s="5"/>
      <c r="Q31" s="15"/>
      <c r="R31" s="15"/>
    </row>
    <row r="32" spans="1:18" x14ac:dyDescent="0.25">
      <c r="A32" s="58" t="s">
        <v>53</v>
      </c>
      <c r="B32" s="58"/>
      <c r="C32" s="8"/>
      <c r="D32" s="7"/>
      <c r="E32" s="7">
        <f>SUM(E5:E31)</f>
        <v>100</v>
      </c>
      <c r="F32" s="8"/>
      <c r="G32" s="8"/>
      <c r="H32" s="8"/>
      <c r="I32" s="21"/>
      <c r="J32" s="7">
        <f>SUM(J5:J31)</f>
        <v>70.239999999999995</v>
      </c>
      <c r="K32" s="7">
        <f>SUM(K5:K31)</f>
        <v>70.280000000000015</v>
      </c>
      <c r="L32" s="22">
        <f>SUM(L5:L31)</f>
        <v>4.000000000000159E-2</v>
      </c>
      <c r="N32" s="14"/>
      <c r="O32" s="14"/>
      <c r="Q32" s="5"/>
      <c r="R32" s="5"/>
    </row>
  </sheetData>
  <sheetProtection algorithmName="SHA-512" hashValue="l2wc2J7ociirf75rRgIajcjXIIObJ8U1rZ/ooP6Yf9iyiIraMhyqvCmpX6bk2FiDXylzustplTidndLbqc85aQ==" saltValue="bxM58cdMhpALVW3fnVpEPw==" spinCount="100000" sheet="1" objects="1" scenarios="1"/>
  <mergeCells count="27">
    <mergeCell ref="A28:A30"/>
    <mergeCell ref="B28:B30"/>
    <mergeCell ref="A32:B32"/>
    <mergeCell ref="A15:A20"/>
    <mergeCell ref="B15:B20"/>
    <mergeCell ref="A22:A24"/>
    <mergeCell ref="B22:B24"/>
    <mergeCell ref="A25:A27"/>
    <mergeCell ref="B25:B27"/>
    <mergeCell ref="N3:O3"/>
    <mergeCell ref="Q3:R3"/>
    <mergeCell ref="A5:A8"/>
    <mergeCell ref="B5:B8"/>
    <mergeCell ref="A11:A14"/>
    <mergeCell ref="B11:B14"/>
    <mergeCell ref="A1:L1"/>
    <mergeCell ref="A2:L2"/>
    <mergeCell ref="A3:A4"/>
    <mergeCell ref="B3:B4"/>
    <mergeCell ref="C3:C4"/>
    <mergeCell ref="D3:D4"/>
    <mergeCell ref="E3:E4"/>
    <mergeCell ref="F3:G3"/>
    <mergeCell ref="H3:H4"/>
    <mergeCell ref="I3:I4"/>
    <mergeCell ref="J3:K3"/>
    <mergeCell ref="L3:L4"/>
  </mergeCells>
  <conditionalFormatting sqref="I5:I31">
    <cfRule type="cellIs" dxfId="18" priority="1" operator="lessThan">
      <formula>100</formula>
    </cfRule>
    <cfRule type="cellIs" dxfId="17" priority="2" operator="greaterThan">
      <formula>100</formula>
    </cfRule>
  </conditionalFormatting>
  <conditionalFormatting sqref="L5:L32">
    <cfRule type="cellIs" dxfId="16" priority="5" operator="lessThan">
      <formula>0</formula>
    </cfRule>
    <cfRule type="cellIs" dxfId="15" priority="6" operator="greaterThan">
      <formula>0</formula>
    </cfRule>
  </conditionalFormatting>
  <conditionalFormatting sqref="Q5:R30">
    <cfRule type="cellIs" dxfId="14" priority="3" operator="lessThan">
      <formula>0</formula>
    </cfRule>
    <cfRule type="cellIs" dxfId="13" priority="4" operator="greaterThan">
      <formula>0</formula>
    </cfRule>
  </conditionalFormatting>
  <pageMargins left="0.47244094488188981" right="0.11811023622047245" top="0.74803149606299213" bottom="0.74803149606299213" header="0.31496062992125984" footer="0.31496062992125984"/>
  <pageSetup paperSize="5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AEA0F-0240-4F01-A7B8-F1F6DEDDFFCB}">
  <dimension ref="A1:R32"/>
  <sheetViews>
    <sheetView zoomScale="104" zoomScaleNormal="60" workbookViewId="0">
      <selection activeCell="F25" sqref="F25"/>
    </sheetView>
  </sheetViews>
  <sheetFormatPr defaultRowHeight="15" x14ac:dyDescent="0.25"/>
  <cols>
    <col min="1" max="1" width="4.5703125" customWidth="1"/>
    <col min="2" max="2" width="24.85546875" bestFit="1" customWidth="1"/>
    <col min="3" max="3" width="29.85546875" bestFit="1" customWidth="1"/>
    <col min="6" max="8" width="15.28515625" bestFit="1" customWidth="1"/>
    <col min="13" max="13" width="3.42578125" customWidth="1"/>
    <col min="16" max="16" width="3.42578125" customWidth="1"/>
    <col min="17" max="17" width="14.42578125" bestFit="1" customWidth="1"/>
    <col min="18" max="18" width="15.28515625" bestFit="1" customWidth="1"/>
  </cols>
  <sheetData>
    <row r="1" spans="1:18" x14ac:dyDescent="0.25">
      <c r="A1" s="59" t="s">
        <v>76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1:18" x14ac:dyDescent="0.25">
      <c r="A2" s="65">
        <f>KONSOL!A2</f>
        <v>46178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8" x14ac:dyDescent="0.25">
      <c r="A3" s="57" t="s">
        <v>0</v>
      </c>
      <c r="B3" s="57" t="s">
        <v>1</v>
      </c>
      <c r="C3" s="57" t="s">
        <v>2</v>
      </c>
      <c r="D3" s="57" t="s">
        <v>46</v>
      </c>
      <c r="E3" s="57" t="s">
        <v>3</v>
      </c>
      <c r="F3" s="61" t="s">
        <v>51</v>
      </c>
      <c r="G3" s="62"/>
      <c r="H3" s="63" t="s">
        <v>6</v>
      </c>
      <c r="I3" s="57" t="s">
        <v>55</v>
      </c>
      <c r="J3" s="57" t="s">
        <v>52</v>
      </c>
      <c r="K3" s="57"/>
      <c r="L3" s="57" t="s">
        <v>50</v>
      </c>
      <c r="M3" s="2"/>
      <c r="N3" s="58" t="s">
        <v>58</v>
      </c>
      <c r="O3" s="58"/>
      <c r="Q3" s="58" t="s">
        <v>61</v>
      </c>
      <c r="R3" s="58"/>
    </row>
    <row r="4" spans="1:18" ht="30" x14ac:dyDescent="0.25">
      <c r="A4" s="57"/>
      <c r="B4" s="57"/>
      <c r="C4" s="57"/>
      <c r="D4" s="57"/>
      <c r="E4" s="57"/>
      <c r="F4" s="3" t="s">
        <v>47</v>
      </c>
      <c r="G4" s="3" t="s">
        <v>48</v>
      </c>
      <c r="H4" s="64"/>
      <c r="I4" s="57"/>
      <c r="J4" s="3" t="s">
        <v>57</v>
      </c>
      <c r="K4" s="3" t="s">
        <v>49</v>
      </c>
      <c r="L4" s="57"/>
      <c r="M4" s="2"/>
      <c r="N4" s="7" t="s">
        <v>59</v>
      </c>
      <c r="O4" s="7" t="s">
        <v>60</v>
      </c>
      <c r="Q4" s="7" t="s">
        <v>47</v>
      </c>
      <c r="R4" s="7" t="s">
        <v>48</v>
      </c>
    </row>
    <row r="5" spans="1:18" x14ac:dyDescent="0.25">
      <c r="A5" s="55">
        <v>1</v>
      </c>
      <c r="B5" s="56" t="s">
        <v>11</v>
      </c>
      <c r="C5" s="5" t="s">
        <v>12</v>
      </c>
      <c r="D5" s="6" t="s">
        <v>54</v>
      </c>
      <c r="E5" s="4">
        <f>INPUT!D184</f>
        <v>12.5</v>
      </c>
      <c r="F5" s="9">
        <f>INPUT!F184</f>
        <v>2051101918</v>
      </c>
      <c r="G5" s="15">
        <f>F5*110%</f>
        <v>2256212109.8000002</v>
      </c>
      <c r="H5" s="9">
        <f>INPUT!G184</f>
        <v>992176999</v>
      </c>
      <c r="I5" s="13">
        <f>INPUT!J184</f>
        <v>48.37</v>
      </c>
      <c r="J5" s="4">
        <f>INPUT!U3</f>
        <v>6.1</v>
      </c>
      <c r="K5" s="4">
        <f>INPUT!K184</f>
        <v>6.05</v>
      </c>
      <c r="L5" s="4">
        <f>K5-J5</f>
        <v>-4.9999999999999822E-2</v>
      </c>
      <c r="N5" s="5"/>
      <c r="O5" s="5"/>
      <c r="Q5" s="15">
        <f>H5-F5</f>
        <v>-1058924919</v>
      </c>
      <c r="R5" s="15">
        <f>H5-G5</f>
        <v>-1264035110.8000002</v>
      </c>
    </row>
    <row r="6" spans="1:18" x14ac:dyDescent="0.25">
      <c r="A6" s="55"/>
      <c r="B6" s="56"/>
      <c r="C6" s="20" t="s">
        <v>13</v>
      </c>
      <c r="D6" s="4">
        <v>110</v>
      </c>
      <c r="E6" s="4"/>
      <c r="F6" s="9">
        <f>INPUT!F185</f>
        <v>0</v>
      </c>
      <c r="G6" s="15">
        <f t="shared" ref="G6:G14" si="0">F6*110%</f>
        <v>0</v>
      </c>
      <c r="H6" s="9">
        <f>INPUT!G185</f>
        <v>0</v>
      </c>
      <c r="I6" s="13">
        <f>INPUT!J185</f>
        <v>0</v>
      </c>
      <c r="J6" s="4">
        <f>INPUT!U4</f>
        <v>0</v>
      </c>
      <c r="K6" s="4">
        <f>INPUT!K185</f>
        <v>0</v>
      </c>
      <c r="L6" s="4">
        <f t="shared" ref="L6:L31" si="1">K6-J6</f>
        <v>0</v>
      </c>
      <c r="N6" s="5"/>
      <c r="O6" s="5"/>
      <c r="Q6" s="15">
        <f t="shared" ref="Q6:Q30" si="2">H6-F6</f>
        <v>0</v>
      </c>
      <c r="R6" s="15">
        <f t="shared" ref="R6:R30" si="3">H6-G6</f>
        <v>0</v>
      </c>
    </row>
    <row r="7" spans="1:18" x14ac:dyDescent="0.25">
      <c r="A7" s="55"/>
      <c r="B7" s="56"/>
      <c r="C7" s="5" t="s">
        <v>14</v>
      </c>
      <c r="D7" s="6" t="s">
        <v>54</v>
      </c>
      <c r="E7" s="4">
        <f>INPUT!D186</f>
        <v>10</v>
      </c>
      <c r="F7" s="9">
        <f>INPUT!F186</f>
        <v>1211584145</v>
      </c>
      <c r="G7" s="15">
        <f t="shared" si="0"/>
        <v>1332742559.5</v>
      </c>
      <c r="H7" s="9">
        <f>INPUT!G186</f>
        <v>707217110</v>
      </c>
      <c r="I7" s="13">
        <f>INPUT!J186</f>
        <v>58.37</v>
      </c>
      <c r="J7" s="4">
        <f>INPUT!U5</f>
        <v>5.91</v>
      </c>
      <c r="K7" s="4">
        <f>INPUT!K186</f>
        <v>5.84</v>
      </c>
      <c r="L7" s="4">
        <f t="shared" si="1"/>
        <v>-7.0000000000000284E-2</v>
      </c>
      <c r="N7" s="5"/>
      <c r="O7" s="5"/>
      <c r="Q7" s="15">
        <f t="shared" si="2"/>
        <v>-504367035</v>
      </c>
      <c r="R7" s="15">
        <f t="shared" si="3"/>
        <v>-625525449.5</v>
      </c>
    </row>
    <row r="8" spans="1:18" x14ac:dyDescent="0.25">
      <c r="A8" s="55"/>
      <c r="B8" s="56"/>
      <c r="C8" s="5" t="s">
        <v>15</v>
      </c>
      <c r="D8" s="4">
        <v>110</v>
      </c>
      <c r="E8" s="4">
        <f>INPUT!D187</f>
        <v>5</v>
      </c>
      <c r="F8" s="9">
        <f>INPUT!F187</f>
        <v>2475837838</v>
      </c>
      <c r="G8" s="15">
        <f t="shared" si="0"/>
        <v>2723421621.8000002</v>
      </c>
      <c r="H8" s="9">
        <f>INPUT!G187</f>
        <v>765192900</v>
      </c>
      <c r="I8" s="13">
        <f>INPUT!J187</f>
        <v>30.91</v>
      </c>
      <c r="J8" s="4">
        <f>INPUT!U6</f>
        <v>1.44</v>
      </c>
      <c r="K8" s="4">
        <f>INPUT!K187</f>
        <v>1.55</v>
      </c>
      <c r="L8" s="4">
        <f t="shared" si="1"/>
        <v>0.1100000000000001</v>
      </c>
      <c r="N8" s="5"/>
      <c r="O8" s="5"/>
      <c r="Q8" s="15">
        <f t="shared" si="2"/>
        <v>-1710644938</v>
      </c>
      <c r="R8" s="15">
        <f t="shared" si="3"/>
        <v>-1958228721.8000002</v>
      </c>
    </row>
    <row r="9" spans="1:18" x14ac:dyDescent="0.25">
      <c r="A9" s="4">
        <v>2</v>
      </c>
      <c r="B9" s="5" t="s">
        <v>16</v>
      </c>
      <c r="C9" s="5" t="s">
        <v>16</v>
      </c>
      <c r="D9" s="4">
        <v>110</v>
      </c>
      <c r="E9" s="4">
        <f>INPUT!D188</f>
        <v>10</v>
      </c>
      <c r="F9" s="9">
        <f>INPUT!F188</f>
        <v>456197076</v>
      </c>
      <c r="G9" s="15">
        <f t="shared" si="0"/>
        <v>501816783.60000002</v>
      </c>
      <c r="H9" s="9">
        <f>INPUT!G188</f>
        <v>76825973</v>
      </c>
      <c r="I9" s="13">
        <f>INPUT!J188</f>
        <v>16.84</v>
      </c>
      <c r="J9" s="4">
        <f>INPUT!U7</f>
        <v>1.68</v>
      </c>
      <c r="K9" s="4">
        <f>INPUT!K188</f>
        <v>1.68</v>
      </c>
      <c r="L9" s="4">
        <f t="shared" si="1"/>
        <v>0</v>
      </c>
      <c r="N9" s="5"/>
      <c r="O9" s="5"/>
      <c r="Q9" s="15">
        <f t="shared" si="2"/>
        <v>-379371103</v>
      </c>
      <c r="R9" s="15">
        <f t="shared" si="3"/>
        <v>-424990810.60000002</v>
      </c>
    </row>
    <row r="10" spans="1:18" x14ac:dyDescent="0.25">
      <c r="A10" s="4">
        <v>3</v>
      </c>
      <c r="B10" s="5" t="s">
        <v>17</v>
      </c>
      <c r="C10" s="20" t="s">
        <v>17</v>
      </c>
      <c r="D10" s="4">
        <v>110</v>
      </c>
      <c r="E10" s="4"/>
      <c r="F10" s="9">
        <f>INPUT!F189</f>
        <v>0</v>
      </c>
      <c r="G10" s="15">
        <f t="shared" si="0"/>
        <v>0</v>
      </c>
      <c r="H10" s="9">
        <f>INPUT!G189</f>
        <v>73.989999999999995</v>
      </c>
      <c r="I10" s="13">
        <f>INPUT!J189</f>
        <v>0</v>
      </c>
      <c r="J10" s="4">
        <f>INPUT!U8</f>
        <v>0</v>
      </c>
      <c r="K10" s="4">
        <f>INPUT!K189</f>
        <v>0</v>
      </c>
      <c r="L10" s="4">
        <f t="shared" si="1"/>
        <v>0</v>
      </c>
      <c r="N10" s="5"/>
      <c r="O10" s="5"/>
      <c r="Q10" s="15">
        <f t="shared" si="2"/>
        <v>73.989999999999995</v>
      </c>
      <c r="R10" s="15">
        <f t="shared" si="3"/>
        <v>73.989999999999995</v>
      </c>
    </row>
    <row r="11" spans="1:18" x14ac:dyDescent="0.25">
      <c r="A11" s="55">
        <v>4</v>
      </c>
      <c r="B11" s="56" t="s">
        <v>18</v>
      </c>
      <c r="C11" s="5" t="s">
        <v>19</v>
      </c>
      <c r="D11" s="4">
        <v>110</v>
      </c>
      <c r="E11" s="4">
        <f>INPUT!D190</f>
        <v>5</v>
      </c>
      <c r="F11" s="9">
        <f>INPUT!F190</f>
        <v>740</v>
      </c>
      <c r="G11" s="15">
        <f t="shared" si="0"/>
        <v>814.00000000000011</v>
      </c>
      <c r="H11" s="9">
        <f>INPUT!G190</f>
        <v>138</v>
      </c>
      <c r="I11" s="13">
        <f>INPUT!J190</f>
        <v>18.66</v>
      </c>
      <c r="J11" s="4">
        <f>INPUT!U9</f>
        <v>0.3</v>
      </c>
      <c r="K11" s="4">
        <f>INPUT!K190</f>
        <v>0.93</v>
      </c>
      <c r="L11" s="4">
        <f t="shared" si="1"/>
        <v>0.63000000000000012</v>
      </c>
      <c r="N11" s="5"/>
      <c r="O11" s="5"/>
      <c r="Q11" s="15">
        <f t="shared" si="2"/>
        <v>-602</v>
      </c>
      <c r="R11" s="15">
        <f t="shared" si="3"/>
        <v>-676.00000000000011</v>
      </c>
    </row>
    <row r="12" spans="1:18" x14ac:dyDescent="0.25">
      <c r="A12" s="55"/>
      <c r="B12" s="56"/>
      <c r="C12" s="5" t="s">
        <v>20</v>
      </c>
      <c r="D12" s="4">
        <v>110</v>
      </c>
      <c r="E12" s="4">
        <f>INPUT!D191</f>
        <v>2.5</v>
      </c>
      <c r="F12" s="9">
        <f>INPUT!F191</f>
        <v>30</v>
      </c>
      <c r="G12" s="15">
        <f t="shared" si="0"/>
        <v>33</v>
      </c>
      <c r="H12" s="9">
        <f>INPUT!G191</f>
        <v>3</v>
      </c>
      <c r="I12" s="13">
        <f>INPUT!J191</f>
        <v>10.15</v>
      </c>
      <c r="J12" s="4">
        <f>INPUT!U10</f>
        <v>0.25</v>
      </c>
      <c r="K12" s="4">
        <f>INPUT!K191</f>
        <v>0.25</v>
      </c>
      <c r="L12" s="4">
        <f t="shared" si="1"/>
        <v>0</v>
      </c>
      <c r="N12" s="5"/>
      <c r="O12" s="5"/>
      <c r="Q12" s="15">
        <f t="shared" si="2"/>
        <v>-27</v>
      </c>
      <c r="R12" s="15">
        <f t="shared" si="3"/>
        <v>-30</v>
      </c>
    </row>
    <row r="13" spans="1:18" x14ac:dyDescent="0.25">
      <c r="A13" s="55"/>
      <c r="B13" s="56"/>
      <c r="C13" s="5" t="s">
        <v>21</v>
      </c>
      <c r="D13" s="4">
        <v>110</v>
      </c>
      <c r="E13" s="4">
        <f>INPUT!D192</f>
        <v>5</v>
      </c>
      <c r="F13" s="9">
        <f>INPUT!F192</f>
        <v>801</v>
      </c>
      <c r="G13" s="15">
        <f t="shared" si="0"/>
        <v>881.1</v>
      </c>
      <c r="H13" s="9">
        <f>INPUT!G192</f>
        <v>168</v>
      </c>
      <c r="I13" s="13">
        <f>INPUT!J192</f>
        <v>20.98</v>
      </c>
      <c r="J13" s="4">
        <f>INPUT!U11</f>
        <v>1.01</v>
      </c>
      <c r="K13" s="4">
        <f>INPUT!K192</f>
        <v>1.05</v>
      </c>
      <c r="L13" s="4">
        <f t="shared" si="1"/>
        <v>4.0000000000000036E-2</v>
      </c>
      <c r="N13" s="5"/>
      <c r="O13" s="5"/>
      <c r="Q13" s="15">
        <f t="shared" si="2"/>
        <v>-633</v>
      </c>
      <c r="R13" s="15">
        <f t="shared" si="3"/>
        <v>-713.1</v>
      </c>
    </row>
    <row r="14" spans="1:18" x14ac:dyDescent="0.25">
      <c r="A14" s="55"/>
      <c r="B14" s="56"/>
      <c r="C14" s="5" t="s">
        <v>22</v>
      </c>
      <c r="D14" s="4">
        <v>110</v>
      </c>
      <c r="E14" s="4">
        <f>INPUT!D193</f>
        <v>5</v>
      </c>
      <c r="F14" s="9">
        <f>INPUT!F193</f>
        <v>48</v>
      </c>
      <c r="G14" s="15">
        <f t="shared" si="0"/>
        <v>52.800000000000004</v>
      </c>
      <c r="H14" s="9">
        <f>INPUT!G193</f>
        <v>22</v>
      </c>
      <c r="I14" s="13">
        <f>INPUT!J193</f>
        <v>45.64</v>
      </c>
      <c r="J14" s="4">
        <f>INPUT!U12</f>
        <v>2.39</v>
      </c>
      <c r="K14" s="4">
        <f>INPUT!K193</f>
        <v>2.2799999999999998</v>
      </c>
      <c r="L14" s="4">
        <f t="shared" si="1"/>
        <v>-0.11000000000000032</v>
      </c>
      <c r="N14" s="5"/>
      <c r="O14" s="5"/>
      <c r="Q14" s="15">
        <f t="shared" si="2"/>
        <v>-26</v>
      </c>
      <c r="R14" s="15">
        <f t="shared" si="3"/>
        <v>-30.800000000000004</v>
      </c>
    </row>
    <row r="15" spans="1:18" x14ac:dyDescent="0.25">
      <c r="A15" s="55">
        <v>5</v>
      </c>
      <c r="B15" s="56" t="s">
        <v>23</v>
      </c>
      <c r="C15" s="5" t="s">
        <v>24</v>
      </c>
      <c r="D15" s="4">
        <v>110</v>
      </c>
      <c r="E15" s="4">
        <f>INPUT!D194</f>
        <v>4</v>
      </c>
      <c r="F15" s="27">
        <f>INPUT!F194</f>
        <v>0.31</v>
      </c>
      <c r="G15" s="10">
        <f>F15-(F15*10%)</f>
        <v>0.27900000000000003</v>
      </c>
      <c r="H15" s="31">
        <f>INPUT!G194</f>
        <v>0</v>
      </c>
      <c r="I15" s="13">
        <f>INPUT!J194</f>
        <v>110</v>
      </c>
      <c r="J15" s="4">
        <f>INPUT!U13</f>
        <v>4.4000000000000004</v>
      </c>
      <c r="K15" s="4">
        <f>INPUT!K194</f>
        <v>4.4000000000000004</v>
      </c>
      <c r="L15" s="4">
        <f t="shared" si="1"/>
        <v>0</v>
      </c>
      <c r="N15" s="5"/>
      <c r="O15" s="5"/>
      <c r="Q15" s="24">
        <f>F15-H15</f>
        <v>0.31</v>
      </c>
      <c r="R15" s="24">
        <f>G15-H15</f>
        <v>0.27900000000000003</v>
      </c>
    </row>
    <row r="16" spans="1:18" x14ac:dyDescent="0.25">
      <c r="A16" s="55"/>
      <c r="B16" s="56"/>
      <c r="C16" s="20" t="s">
        <v>25</v>
      </c>
      <c r="D16" s="4">
        <v>110</v>
      </c>
      <c r="E16" s="4"/>
      <c r="F16" s="9">
        <f>INPUT!F195</f>
        <v>0</v>
      </c>
      <c r="G16" s="10">
        <f t="shared" ref="G16:G20" si="4">F16-(F16*10%)</f>
        <v>0</v>
      </c>
      <c r="H16" s="31">
        <f>INPUT!G195</f>
        <v>0</v>
      </c>
      <c r="I16" s="13">
        <f>INPUT!J195</f>
        <v>0</v>
      </c>
      <c r="J16" s="4">
        <f>INPUT!U14</f>
        <v>0</v>
      </c>
      <c r="K16" s="4">
        <f>INPUT!K195</f>
        <v>0</v>
      </c>
      <c r="L16" s="4">
        <f t="shared" si="1"/>
        <v>0</v>
      </c>
      <c r="N16" s="5"/>
      <c r="O16" s="5"/>
      <c r="Q16" s="24">
        <f t="shared" ref="Q16:Q20" si="5">F16-H16</f>
        <v>0</v>
      </c>
      <c r="R16" s="24">
        <f t="shared" ref="R16:R20" si="6">G16-H16</f>
        <v>0</v>
      </c>
    </row>
    <row r="17" spans="1:18" x14ac:dyDescent="0.25">
      <c r="A17" s="55"/>
      <c r="B17" s="56"/>
      <c r="C17" s="5" t="s">
        <v>26</v>
      </c>
      <c r="D17" s="4">
        <v>110</v>
      </c>
      <c r="E17" s="4">
        <f>INPUT!D196</f>
        <v>3.5</v>
      </c>
      <c r="F17" s="27">
        <f>INPUT!F196</f>
        <v>0.87</v>
      </c>
      <c r="G17" s="10">
        <f t="shared" si="4"/>
        <v>0.78300000000000003</v>
      </c>
      <c r="H17" s="31">
        <f>INPUT!G196</f>
        <v>0</v>
      </c>
      <c r="I17" s="13">
        <f>INPUT!J196</f>
        <v>110</v>
      </c>
      <c r="J17" s="4">
        <f>INPUT!U15</f>
        <v>3.85</v>
      </c>
      <c r="K17" s="4">
        <f>INPUT!K196</f>
        <v>3.85</v>
      </c>
      <c r="L17" s="4">
        <f t="shared" si="1"/>
        <v>0</v>
      </c>
      <c r="N17" s="5"/>
      <c r="O17" s="5"/>
      <c r="Q17" s="24">
        <f t="shared" si="5"/>
        <v>0.87</v>
      </c>
      <c r="R17" s="24">
        <f t="shared" si="6"/>
        <v>0.78300000000000003</v>
      </c>
    </row>
    <row r="18" spans="1:18" x14ac:dyDescent="0.25">
      <c r="A18" s="55"/>
      <c r="B18" s="56"/>
      <c r="C18" s="5" t="s">
        <v>27</v>
      </c>
      <c r="D18" s="4">
        <v>110</v>
      </c>
      <c r="E18" s="4">
        <f>INPUT!D197</f>
        <v>4</v>
      </c>
      <c r="F18" s="27">
        <f>INPUT!F197</f>
        <v>2.75</v>
      </c>
      <c r="G18" s="10">
        <f t="shared" si="4"/>
        <v>2.4750000000000001</v>
      </c>
      <c r="H18" s="31">
        <f>INPUT!G197</f>
        <v>2.97</v>
      </c>
      <c r="I18" s="13">
        <f>INPUT!J197</f>
        <v>92.73</v>
      </c>
      <c r="J18" s="4">
        <f>INPUT!U16</f>
        <v>4.4000000000000004</v>
      </c>
      <c r="K18" s="4">
        <f>INPUT!K197</f>
        <v>3.71</v>
      </c>
      <c r="L18" s="4">
        <f t="shared" si="1"/>
        <v>-0.69000000000000039</v>
      </c>
      <c r="N18" s="5"/>
      <c r="O18" s="5"/>
      <c r="Q18" s="24">
        <f t="shared" si="5"/>
        <v>-0.2200000000000002</v>
      </c>
      <c r="R18" s="24">
        <f t="shared" si="6"/>
        <v>-0.49500000000000011</v>
      </c>
    </row>
    <row r="19" spans="1:18" x14ac:dyDescent="0.25">
      <c r="A19" s="55"/>
      <c r="B19" s="56"/>
      <c r="C19" s="20" t="s">
        <v>28</v>
      </c>
      <c r="D19" s="4">
        <v>110</v>
      </c>
      <c r="E19" s="4"/>
      <c r="F19" s="9">
        <f>INPUT!F198</f>
        <v>0</v>
      </c>
      <c r="G19" s="10">
        <f t="shared" si="4"/>
        <v>0</v>
      </c>
      <c r="H19" s="31">
        <f>INPUT!G198</f>
        <v>0</v>
      </c>
      <c r="I19" s="13">
        <f>INPUT!J198</f>
        <v>0</v>
      </c>
      <c r="J19" s="4">
        <f>INPUT!U17</f>
        <v>0</v>
      </c>
      <c r="K19" s="4">
        <f>INPUT!K198</f>
        <v>0</v>
      </c>
      <c r="L19" s="4">
        <f t="shared" si="1"/>
        <v>0</v>
      </c>
      <c r="N19" s="5"/>
      <c r="O19" s="5"/>
      <c r="Q19" s="24">
        <f t="shared" si="5"/>
        <v>0</v>
      </c>
      <c r="R19" s="24">
        <f t="shared" si="6"/>
        <v>0</v>
      </c>
    </row>
    <row r="20" spans="1:18" x14ac:dyDescent="0.25">
      <c r="A20" s="55"/>
      <c r="B20" s="56"/>
      <c r="C20" s="5" t="s">
        <v>29</v>
      </c>
      <c r="D20" s="4">
        <v>110</v>
      </c>
      <c r="E20" s="4">
        <f>INPUT!D199</f>
        <v>3.5</v>
      </c>
      <c r="F20" s="27">
        <f>INPUT!F199</f>
        <v>11.04</v>
      </c>
      <c r="G20" s="10">
        <f t="shared" si="4"/>
        <v>9.9359999999999999</v>
      </c>
      <c r="H20" s="31">
        <f>INPUT!G199</f>
        <v>25.49</v>
      </c>
      <c r="I20" s="13">
        <f>INPUT!J199</f>
        <v>43.33</v>
      </c>
      <c r="J20" s="4">
        <f>INPUT!U18</f>
        <v>1.37</v>
      </c>
      <c r="K20" s="4">
        <f>INPUT!K199</f>
        <v>1.52</v>
      </c>
      <c r="L20" s="4">
        <f t="shared" si="1"/>
        <v>0.14999999999999991</v>
      </c>
      <c r="N20" s="5"/>
      <c r="O20" s="5"/>
      <c r="Q20" s="24">
        <f t="shared" si="5"/>
        <v>-14.45</v>
      </c>
      <c r="R20" s="24">
        <f t="shared" si="6"/>
        <v>-15.553999999999998</v>
      </c>
    </row>
    <row r="21" spans="1:18" x14ac:dyDescent="0.25">
      <c r="A21" s="4">
        <v>6</v>
      </c>
      <c r="B21" s="5" t="s">
        <v>30</v>
      </c>
      <c r="C21" s="20" t="s">
        <v>31</v>
      </c>
      <c r="D21" s="4">
        <v>110</v>
      </c>
      <c r="E21" s="4"/>
      <c r="F21" s="9">
        <f>INPUT!F200</f>
        <v>0</v>
      </c>
      <c r="G21" s="5"/>
      <c r="H21" s="9">
        <f>INPUT!G200</f>
        <v>0</v>
      </c>
      <c r="I21" s="13">
        <f>INPUT!J200</f>
        <v>0</v>
      </c>
      <c r="J21" s="4">
        <f>INPUT!U19</f>
        <v>0</v>
      </c>
      <c r="K21" s="4">
        <f>INPUT!K200</f>
        <v>0</v>
      </c>
      <c r="L21" s="4">
        <f t="shared" si="1"/>
        <v>0</v>
      </c>
      <c r="N21" s="5"/>
      <c r="O21" s="5"/>
      <c r="Q21" s="15">
        <f t="shared" si="2"/>
        <v>0</v>
      </c>
      <c r="R21" s="15">
        <f t="shared" si="3"/>
        <v>0</v>
      </c>
    </row>
    <row r="22" spans="1:18" x14ac:dyDescent="0.25">
      <c r="A22" s="55">
        <v>7</v>
      </c>
      <c r="B22" s="56" t="s">
        <v>32</v>
      </c>
      <c r="C22" s="26" t="s">
        <v>33</v>
      </c>
      <c r="D22" s="6" t="s">
        <v>54</v>
      </c>
      <c r="E22" s="4">
        <f>INPUT!D201</f>
        <v>2.5</v>
      </c>
      <c r="F22" s="9">
        <f>INPUT!F201</f>
        <v>130</v>
      </c>
      <c r="G22" s="12">
        <f>F22*110%</f>
        <v>143</v>
      </c>
      <c r="H22" s="9">
        <f>INPUT!G201</f>
        <v>0</v>
      </c>
      <c r="I22" s="13">
        <f>INPUT!J201</f>
        <v>0</v>
      </c>
      <c r="J22" s="4">
        <f>INPUT!U20</f>
        <v>0</v>
      </c>
      <c r="K22" s="4">
        <f>INPUT!K201</f>
        <v>0</v>
      </c>
      <c r="L22" s="4">
        <f t="shared" si="1"/>
        <v>0</v>
      </c>
      <c r="N22" s="5"/>
      <c r="O22" s="5"/>
      <c r="Q22" s="15">
        <f t="shared" si="2"/>
        <v>-130</v>
      </c>
      <c r="R22" s="15">
        <f t="shared" si="3"/>
        <v>-143</v>
      </c>
    </row>
    <row r="23" spans="1:18" x14ac:dyDescent="0.25">
      <c r="A23" s="55"/>
      <c r="B23" s="56"/>
      <c r="C23" s="5" t="s">
        <v>34</v>
      </c>
      <c r="D23" s="4">
        <v>110</v>
      </c>
      <c r="E23" s="4">
        <f>INPUT!D202</f>
        <v>2.5</v>
      </c>
      <c r="F23" s="9">
        <f>INPUT!F202</f>
        <v>400</v>
      </c>
      <c r="G23" s="12">
        <f>F23*110%</f>
        <v>440.00000000000006</v>
      </c>
      <c r="H23" s="9">
        <f>INPUT!G202</f>
        <v>0</v>
      </c>
      <c r="I23" s="13">
        <f>INPUT!J202</f>
        <v>0</v>
      </c>
      <c r="J23" s="4">
        <f>INPUT!U21</f>
        <v>0</v>
      </c>
      <c r="K23" s="4">
        <f>INPUT!K202</f>
        <v>0</v>
      </c>
      <c r="L23" s="4">
        <f t="shared" si="1"/>
        <v>0</v>
      </c>
      <c r="N23" s="5"/>
      <c r="O23" s="5"/>
      <c r="Q23" s="15">
        <f t="shared" si="2"/>
        <v>-400</v>
      </c>
      <c r="R23" s="15">
        <f t="shared" si="3"/>
        <v>-440.00000000000006</v>
      </c>
    </row>
    <row r="24" spans="1:18" x14ac:dyDescent="0.25">
      <c r="A24" s="55"/>
      <c r="B24" s="56"/>
      <c r="C24" s="5" t="s">
        <v>35</v>
      </c>
      <c r="D24" s="4">
        <v>110</v>
      </c>
      <c r="E24" s="4">
        <f>INPUT!D203</f>
        <v>5</v>
      </c>
      <c r="F24" s="9">
        <f>INPUT!F203</f>
        <v>1166</v>
      </c>
      <c r="G24" s="12">
        <f t="shared" ref="G24:G30" si="7">F24*110%</f>
        <v>1282.6000000000001</v>
      </c>
      <c r="H24" s="9">
        <f>INPUT!G203</f>
        <v>28</v>
      </c>
      <c r="I24" s="13">
        <f>INPUT!J203</f>
        <v>2.4</v>
      </c>
      <c r="J24" s="4">
        <f>INPUT!U22</f>
        <v>0.1</v>
      </c>
      <c r="K24" s="4">
        <f>INPUT!K203</f>
        <v>0.12</v>
      </c>
      <c r="L24" s="4">
        <f t="shared" si="1"/>
        <v>1.999999999999999E-2</v>
      </c>
      <c r="N24" s="5"/>
      <c r="O24" s="5"/>
      <c r="Q24" s="15">
        <f t="shared" si="2"/>
        <v>-1138</v>
      </c>
      <c r="R24" s="15">
        <f t="shared" si="3"/>
        <v>-1254.6000000000001</v>
      </c>
    </row>
    <row r="25" spans="1:18" x14ac:dyDescent="0.25">
      <c r="A25" s="55">
        <v>8</v>
      </c>
      <c r="B25" s="56" t="s">
        <v>36</v>
      </c>
      <c r="C25" s="5" t="s">
        <v>37</v>
      </c>
      <c r="D25" s="4">
        <v>110</v>
      </c>
      <c r="E25" s="4">
        <f>INPUT!D204</f>
        <v>5</v>
      </c>
      <c r="F25" s="9">
        <f>INPUT!F204</f>
        <v>578</v>
      </c>
      <c r="G25" s="12">
        <f t="shared" si="7"/>
        <v>635.80000000000007</v>
      </c>
      <c r="H25" s="9">
        <f>INPUT!G204</f>
        <v>162</v>
      </c>
      <c r="I25" s="13">
        <f>INPUT!J204</f>
        <v>28.05</v>
      </c>
      <c r="J25" s="4">
        <f>INPUT!U23</f>
        <v>0.57999999999999996</v>
      </c>
      <c r="K25" s="4">
        <f>INPUT!K204</f>
        <v>1.4</v>
      </c>
      <c r="L25" s="4">
        <f t="shared" si="1"/>
        <v>0.82</v>
      </c>
      <c r="N25" s="5"/>
      <c r="O25" s="5"/>
      <c r="Q25" s="15">
        <f t="shared" si="2"/>
        <v>-416</v>
      </c>
      <c r="R25" s="15">
        <f t="shared" si="3"/>
        <v>-473.80000000000007</v>
      </c>
    </row>
    <row r="26" spans="1:18" x14ac:dyDescent="0.25">
      <c r="A26" s="55"/>
      <c r="B26" s="56"/>
      <c r="C26" s="5" t="s">
        <v>38</v>
      </c>
      <c r="D26" s="4">
        <v>110</v>
      </c>
      <c r="E26" s="4">
        <f>INPUT!D205</f>
        <v>5</v>
      </c>
      <c r="F26" s="9">
        <f>INPUT!F205</f>
        <v>773770278</v>
      </c>
      <c r="G26" s="9">
        <f t="shared" si="7"/>
        <v>851147305.80000007</v>
      </c>
      <c r="H26" s="9">
        <f>INPUT!G205</f>
        <v>161038700</v>
      </c>
      <c r="I26" s="13">
        <f>INPUT!J205</f>
        <v>20.81</v>
      </c>
      <c r="J26" s="4">
        <f>INPUT!U24</f>
        <v>0.97</v>
      </c>
      <c r="K26" s="4">
        <f>INPUT!K205</f>
        <v>1.04</v>
      </c>
      <c r="L26" s="4">
        <f t="shared" si="1"/>
        <v>7.0000000000000062E-2</v>
      </c>
      <c r="N26" s="5"/>
      <c r="O26" s="5"/>
      <c r="Q26" s="15">
        <f t="shared" si="2"/>
        <v>-612731578</v>
      </c>
      <c r="R26" s="15">
        <f t="shared" si="3"/>
        <v>-690108605.80000007</v>
      </c>
    </row>
    <row r="27" spans="1:18" x14ac:dyDescent="0.25">
      <c r="A27" s="55"/>
      <c r="B27" s="56"/>
      <c r="C27" s="5" t="s">
        <v>39</v>
      </c>
      <c r="D27" s="4">
        <v>110</v>
      </c>
      <c r="E27" s="4">
        <f>INPUT!D206</f>
        <v>5</v>
      </c>
      <c r="F27" s="9">
        <f>INPUT!F206</f>
        <v>7731</v>
      </c>
      <c r="G27" s="12">
        <f t="shared" si="7"/>
        <v>8504.1</v>
      </c>
      <c r="H27" s="9">
        <f>INPUT!G206</f>
        <v>555</v>
      </c>
      <c r="I27" s="13">
        <f>INPUT!J206</f>
        <v>7.18</v>
      </c>
      <c r="J27" s="4">
        <f>INPUT!U25</f>
        <v>0.22</v>
      </c>
      <c r="K27" s="4">
        <f>INPUT!K206</f>
        <v>0.36</v>
      </c>
      <c r="L27" s="4">
        <f t="shared" si="1"/>
        <v>0.13999999999999999</v>
      </c>
      <c r="N27" s="5"/>
      <c r="O27" s="5"/>
      <c r="Q27" s="15">
        <f t="shared" si="2"/>
        <v>-7176</v>
      </c>
      <c r="R27" s="15">
        <f t="shared" si="3"/>
        <v>-7949.1</v>
      </c>
    </row>
    <row r="28" spans="1:18" x14ac:dyDescent="0.25">
      <c r="A28" s="55">
        <v>9</v>
      </c>
      <c r="B28" s="56" t="s">
        <v>40</v>
      </c>
      <c r="C28" s="26" t="s">
        <v>41</v>
      </c>
      <c r="D28" s="4">
        <v>110</v>
      </c>
      <c r="E28" s="4">
        <f>INPUT!D207</f>
        <v>2</v>
      </c>
      <c r="F28" s="9">
        <f>INPUT!F207</f>
        <v>78.760000000000005</v>
      </c>
      <c r="G28" s="5">
        <f t="shared" si="7"/>
        <v>86.63600000000001</v>
      </c>
      <c r="H28" s="9">
        <f>INPUT!G207</f>
        <v>87.54</v>
      </c>
      <c r="I28" s="13">
        <f>INPUT!J207</f>
        <v>110</v>
      </c>
      <c r="J28" s="4">
        <f>INPUT!U26</f>
        <v>2.2000000000000002</v>
      </c>
      <c r="K28" s="4">
        <f>INPUT!K207</f>
        <v>2.2000000000000002</v>
      </c>
      <c r="L28" s="4">
        <f t="shared" si="1"/>
        <v>0</v>
      </c>
      <c r="N28" s="5"/>
      <c r="O28" s="5"/>
      <c r="Q28" s="15">
        <f t="shared" si="2"/>
        <v>8.7800000000000011</v>
      </c>
      <c r="R28" s="15">
        <f t="shared" si="3"/>
        <v>0.90399999999999636</v>
      </c>
    </row>
    <row r="29" spans="1:18" x14ac:dyDescent="0.25">
      <c r="A29" s="55"/>
      <c r="B29" s="56"/>
      <c r="C29" s="5" t="s">
        <v>42</v>
      </c>
      <c r="D29" s="4">
        <v>110</v>
      </c>
      <c r="E29" s="4">
        <f>INPUT!D208</f>
        <v>1.5</v>
      </c>
      <c r="F29" s="9">
        <f>INPUT!F208</f>
        <v>382829717</v>
      </c>
      <c r="G29" s="9">
        <f t="shared" si="7"/>
        <v>421112688.70000005</v>
      </c>
      <c r="H29" s="9">
        <f>INPUT!G208</f>
        <v>309068526</v>
      </c>
      <c r="I29" s="13">
        <f>INPUT!J208</f>
        <v>80.73</v>
      </c>
      <c r="J29" s="4">
        <f>INPUT!U27</f>
        <v>1.22</v>
      </c>
      <c r="K29" s="4">
        <f>INPUT!K208</f>
        <v>1.21</v>
      </c>
      <c r="L29" s="4">
        <f t="shared" si="1"/>
        <v>-1.0000000000000009E-2</v>
      </c>
      <c r="N29" s="5"/>
      <c r="O29" s="5"/>
      <c r="Q29" s="15">
        <f t="shared" si="2"/>
        <v>-73761191</v>
      </c>
      <c r="R29" s="15">
        <f t="shared" si="3"/>
        <v>-112044162.70000005</v>
      </c>
    </row>
    <row r="30" spans="1:18" x14ac:dyDescent="0.25">
      <c r="A30" s="55"/>
      <c r="B30" s="56"/>
      <c r="C30" s="5" t="s">
        <v>43</v>
      </c>
      <c r="D30" s="4">
        <v>110</v>
      </c>
      <c r="E30" s="4">
        <f>INPUT!D209</f>
        <v>1.5</v>
      </c>
      <c r="F30" s="9">
        <f>INPUT!F209</f>
        <v>150</v>
      </c>
      <c r="G30" s="12">
        <f t="shared" si="7"/>
        <v>165</v>
      </c>
      <c r="H30" s="9">
        <f>INPUT!G209</f>
        <v>93.466300000000004</v>
      </c>
      <c r="I30" s="13">
        <f>INPUT!J209</f>
        <v>62.51</v>
      </c>
      <c r="J30" s="4">
        <f>INPUT!U28</f>
        <v>0.94</v>
      </c>
      <c r="K30" s="4">
        <f>INPUT!K209</f>
        <v>0.94</v>
      </c>
      <c r="L30" s="4">
        <f t="shared" si="1"/>
        <v>0</v>
      </c>
      <c r="N30" s="5"/>
      <c r="O30" s="5"/>
      <c r="Q30" s="15">
        <f t="shared" si="2"/>
        <v>-56.533699999999996</v>
      </c>
      <c r="R30" s="15">
        <f t="shared" si="3"/>
        <v>-71.533699999999996</v>
      </c>
    </row>
    <row r="31" spans="1:18" x14ac:dyDescent="0.25">
      <c r="A31" s="4">
        <v>10</v>
      </c>
      <c r="B31" s="5" t="s">
        <v>44</v>
      </c>
      <c r="C31" s="5" t="s">
        <v>44</v>
      </c>
      <c r="D31" s="4"/>
      <c r="E31" s="4"/>
      <c r="F31" s="9">
        <f>INPUT!F210</f>
        <v>1352998713</v>
      </c>
      <c r="G31" s="5"/>
      <c r="H31" s="9">
        <f>INPUT!G210</f>
        <v>328807226</v>
      </c>
      <c r="I31" s="13">
        <f>INPUT!J210</f>
        <v>24.3</v>
      </c>
      <c r="J31" s="4">
        <f>INPUT!U29</f>
        <v>0</v>
      </c>
      <c r="K31" s="4">
        <f>INPUT!K210</f>
        <v>0</v>
      </c>
      <c r="L31" s="4">
        <f t="shared" si="1"/>
        <v>0</v>
      </c>
      <c r="N31" s="5"/>
      <c r="O31" s="5"/>
      <c r="Q31" s="15"/>
      <c r="R31" s="15"/>
    </row>
    <row r="32" spans="1:18" x14ac:dyDescent="0.25">
      <c r="A32" s="58" t="s">
        <v>53</v>
      </c>
      <c r="B32" s="58"/>
      <c r="C32" s="8"/>
      <c r="D32" s="7"/>
      <c r="E32" s="7">
        <f>SUM(E5:E31)</f>
        <v>100</v>
      </c>
      <c r="F32" s="8"/>
      <c r="G32" s="8"/>
      <c r="H32" s="8"/>
      <c r="I32" s="21"/>
      <c r="J32" s="7">
        <f>SUM(J5:J31)</f>
        <v>39.33</v>
      </c>
      <c r="K32" s="7">
        <f>SUM(K5:K31)</f>
        <v>40.380000000000003</v>
      </c>
      <c r="L32" s="22">
        <f>SUM(L5:L31)</f>
        <v>1.0499999999999994</v>
      </c>
      <c r="N32" s="14"/>
      <c r="O32" s="14"/>
      <c r="Q32" s="5"/>
      <c r="R32" s="5"/>
    </row>
  </sheetData>
  <sheetProtection algorithmName="SHA-512" hashValue="YymQqCFdj6Er3/c9300S1S7li6Acr0ucqbAYS9C577dA66xY8e8oko9NaAf+/KCVTzGCW/LoLUYZZXOIM7IQKw==" saltValue="0hAtBZM8SN8+rUhzHObwPw==" spinCount="100000" sheet="1" objects="1" scenarios="1"/>
  <mergeCells count="27">
    <mergeCell ref="A28:A30"/>
    <mergeCell ref="B28:B30"/>
    <mergeCell ref="A32:B32"/>
    <mergeCell ref="A15:A20"/>
    <mergeCell ref="B15:B20"/>
    <mergeCell ref="A22:A24"/>
    <mergeCell ref="B22:B24"/>
    <mergeCell ref="A25:A27"/>
    <mergeCell ref="B25:B27"/>
    <mergeCell ref="N3:O3"/>
    <mergeCell ref="Q3:R3"/>
    <mergeCell ref="A5:A8"/>
    <mergeCell ref="B5:B8"/>
    <mergeCell ref="A11:A14"/>
    <mergeCell ref="B11:B14"/>
    <mergeCell ref="A1:L1"/>
    <mergeCell ref="A2:L2"/>
    <mergeCell ref="A3:A4"/>
    <mergeCell ref="B3:B4"/>
    <mergeCell ref="C3:C4"/>
    <mergeCell ref="D3:D4"/>
    <mergeCell ref="E3:E4"/>
    <mergeCell ref="F3:G3"/>
    <mergeCell ref="H3:H4"/>
    <mergeCell ref="I3:I4"/>
    <mergeCell ref="J3:K3"/>
    <mergeCell ref="L3:L4"/>
  </mergeCells>
  <conditionalFormatting sqref="I5:I31">
    <cfRule type="cellIs" dxfId="12" priority="1" operator="lessThan">
      <formula>100</formula>
    </cfRule>
    <cfRule type="cellIs" dxfId="11" priority="2" operator="greaterThan">
      <formula>100</formula>
    </cfRule>
  </conditionalFormatting>
  <conditionalFormatting sqref="L5:L32">
    <cfRule type="cellIs" dxfId="10" priority="5" operator="lessThan">
      <formula>0</formula>
    </cfRule>
    <cfRule type="cellIs" dxfId="9" priority="6" operator="greaterThan">
      <formula>0</formula>
    </cfRule>
  </conditionalFormatting>
  <conditionalFormatting sqref="Q5:R30">
    <cfRule type="cellIs" dxfId="8" priority="3" operator="lessThan">
      <formula>0</formula>
    </cfRule>
    <cfRule type="cellIs" dxfId="7" priority="4" operator="greaterThan">
      <formula>0</formula>
    </cfRule>
  </conditionalFormatting>
  <pageMargins left="0.47244094488188981" right="0.11811023622047245" top="0.74803149606299213" bottom="0.74803149606299213" header="0.31496062992125984" footer="0.31496062992125984"/>
  <pageSetup paperSize="5"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B3A2-0494-4BAE-9C75-994DA05BA438}">
  <dimension ref="A1:AG32"/>
  <sheetViews>
    <sheetView view="pageBreakPreview" zoomScaleNormal="93" zoomScaleSheetLayoutView="100" workbookViewId="0">
      <selection activeCell="W35" sqref="W35"/>
    </sheetView>
  </sheetViews>
  <sheetFormatPr defaultRowHeight="15" x14ac:dyDescent="0.25"/>
  <cols>
    <col min="1" max="1" width="4" customWidth="1"/>
    <col min="2" max="2" width="23.85546875" customWidth="1"/>
    <col min="3" max="3" width="28.85546875" customWidth="1"/>
    <col min="5" max="5" width="7.140625" customWidth="1"/>
    <col min="6" max="6" width="0.85546875" customWidth="1"/>
    <col min="7" max="7" width="9.7109375" style="2" bestFit="1" customWidth="1"/>
    <col min="8" max="8" width="8.7109375" style="2"/>
    <col min="9" max="9" width="6.85546875" style="2" customWidth="1"/>
    <col min="10" max="10" width="0.85546875" customWidth="1"/>
    <col min="11" max="11" width="9.7109375" bestFit="1" customWidth="1"/>
    <col min="13" max="13" width="6.85546875" customWidth="1"/>
    <col min="14" max="14" width="0.85546875" customWidth="1"/>
    <col min="15" max="15" width="9.7109375" bestFit="1" customWidth="1"/>
    <col min="17" max="17" width="6.85546875" customWidth="1"/>
    <col min="18" max="18" width="0.85546875" customWidth="1"/>
    <col min="19" max="19" width="9.7109375" bestFit="1" customWidth="1"/>
    <col min="21" max="21" width="6.85546875" customWidth="1"/>
    <col min="22" max="22" width="0.85546875" customWidth="1"/>
    <col min="23" max="23" width="9.7109375" bestFit="1" customWidth="1"/>
    <col min="25" max="25" width="6.85546875" customWidth="1"/>
    <col min="26" max="26" width="0.7109375" customWidth="1"/>
    <col min="27" max="27" width="9.7109375" bestFit="1" customWidth="1"/>
    <col min="29" max="29" width="6.85546875" customWidth="1"/>
    <col min="30" max="30" width="0.85546875" customWidth="1"/>
    <col min="31" max="31" width="9.7109375" bestFit="1" customWidth="1"/>
    <col min="33" max="33" width="6.85546875" customWidth="1"/>
  </cols>
  <sheetData>
    <row r="1" spans="1:33" x14ac:dyDescent="0.25">
      <c r="A1" s="66" t="s">
        <v>79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</row>
    <row r="2" spans="1:33" x14ac:dyDescent="0.25">
      <c r="A2" s="67">
        <f>KONSOL!A2</f>
        <v>46178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</row>
    <row r="3" spans="1:33" s="1" customFormat="1" ht="20.100000000000001" customHeight="1" x14ac:dyDescent="0.25">
      <c r="A3" s="57" t="s">
        <v>0</v>
      </c>
      <c r="B3" s="57" t="s">
        <v>1</v>
      </c>
      <c r="C3" s="57" t="s">
        <v>2</v>
      </c>
      <c r="D3" s="57" t="s">
        <v>46</v>
      </c>
      <c r="E3" s="57" t="s">
        <v>3</v>
      </c>
      <c r="F3" s="29"/>
      <c r="G3" s="57" t="s">
        <v>45</v>
      </c>
      <c r="H3" s="57"/>
      <c r="I3" s="57"/>
      <c r="J3" s="29"/>
      <c r="K3" s="57" t="s">
        <v>63</v>
      </c>
      <c r="L3" s="57"/>
      <c r="M3" s="57"/>
      <c r="N3" s="29"/>
      <c r="O3" s="57" t="s">
        <v>64</v>
      </c>
      <c r="P3" s="57"/>
      <c r="Q3" s="57"/>
      <c r="R3" s="29"/>
      <c r="S3" s="57" t="s">
        <v>65</v>
      </c>
      <c r="T3" s="57"/>
      <c r="U3" s="57"/>
      <c r="V3" s="29" t="s">
        <v>66</v>
      </c>
      <c r="W3" s="57" t="s">
        <v>66</v>
      </c>
      <c r="X3" s="57"/>
      <c r="Y3" s="57"/>
      <c r="Z3" s="29"/>
      <c r="AA3" s="57" t="s">
        <v>67</v>
      </c>
      <c r="AB3" s="57"/>
      <c r="AC3" s="57"/>
      <c r="AD3" s="29"/>
      <c r="AE3" s="57" t="s">
        <v>69</v>
      </c>
      <c r="AF3" s="57"/>
      <c r="AG3" s="57"/>
    </row>
    <row r="4" spans="1:33" s="1" customFormat="1" ht="20.100000000000001" customHeight="1" x14ac:dyDescent="0.25">
      <c r="A4" s="57"/>
      <c r="B4" s="57"/>
      <c r="C4" s="57"/>
      <c r="D4" s="57"/>
      <c r="E4" s="57"/>
      <c r="F4" s="29"/>
      <c r="G4" s="3" t="s">
        <v>57</v>
      </c>
      <c r="H4" s="3" t="s">
        <v>49</v>
      </c>
      <c r="I4" s="3" t="s">
        <v>62</v>
      </c>
      <c r="J4" s="29"/>
      <c r="K4" s="3" t="s">
        <v>57</v>
      </c>
      <c r="L4" s="3" t="s">
        <v>49</v>
      </c>
      <c r="M4" s="3" t="s">
        <v>62</v>
      </c>
      <c r="N4" s="29"/>
      <c r="O4" s="3" t="s">
        <v>57</v>
      </c>
      <c r="P4" s="3" t="s">
        <v>49</v>
      </c>
      <c r="Q4" s="3" t="s">
        <v>62</v>
      </c>
      <c r="R4" s="29"/>
      <c r="S4" s="3" t="s">
        <v>57</v>
      </c>
      <c r="T4" s="3" t="s">
        <v>49</v>
      </c>
      <c r="U4" s="3" t="s">
        <v>62</v>
      </c>
      <c r="V4" s="29"/>
      <c r="W4" s="3" t="s">
        <v>57</v>
      </c>
      <c r="X4" s="3" t="s">
        <v>49</v>
      </c>
      <c r="Y4" s="3" t="s">
        <v>62</v>
      </c>
      <c r="Z4" s="29"/>
      <c r="AA4" s="3" t="s">
        <v>57</v>
      </c>
      <c r="AB4" s="3" t="s">
        <v>49</v>
      </c>
      <c r="AC4" s="3" t="s">
        <v>62</v>
      </c>
      <c r="AD4" s="29"/>
      <c r="AE4" s="3" t="s">
        <v>57</v>
      </c>
      <c r="AF4" s="3" t="s">
        <v>49</v>
      </c>
      <c r="AG4" s="3" t="s">
        <v>62</v>
      </c>
    </row>
    <row r="5" spans="1:33" x14ac:dyDescent="0.25">
      <c r="A5" s="55">
        <v>1</v>
      </c>
      <c r="B5" s="56" t="s">
        <v>11</v>
      </c>
      <c r="C5" s="5" t="s">
        <v>12</v>
      </c>
      <c r="D5" s="6" t="s">
        <v>54</v>
      </c>
      <c r="E5" s="4">
        <f>KONSOL!E5</f>
        <v>10</v>
      </c>
      <c r="F5" s="30"/>
      <c r="G5" s="4">
        <f>KONSOL!J5</f>
        <v>11.41</v>
      </c>
      <c r="H5" s="4">
        <f>KONSOL!K5</f>
        <v>11.48</v>
      </c>
      <c r="I5" s="4">
        <f>H5-G5</f>
        <v>7.0000000000000284E-2</v>
      </c>
      <c r="J5" s="29"/>
      <c r="K5" s="4">
        <f>TEGALBOTO!J5</f>
        <v>11.7</v>
      </c>
      <c r="L5" s="4">
        <f>TEGALBOTO!K5</f>
        <v>11.77</v>
      </c>
      <c r="M5" s="4">
        <f>L5-K5</f>
        <v>7.0000000000000284E-2</v>
      </c>
      <c r="N5" s="29"/>
      <c r="O5" s="4">
        <f>'BASUKI RAHMAD'!J5</f>
        <v>13.49</v>
      </c>
      <c r="P5" s="4">
        <f>'BASUKI RAHMAD'!K5</f>
        <v>13.55</v>
      </c>
      <c r="Q5" s="4">
        <f>P5-O5</f>
        <v>6.0000000000000497E-2</v>
      </c>
      <c r="R5" s="29"/>
      <c r="S5" s="4">
        <f>'S PARMAN'!J5</f>
        <v>13.97</v>
      </c>
      <c r="T5" s="4">
        <f>'S PARMAN'!K5</f>
        <v>14.09</v>
      </c>
      <c r="U5" s="4">
        <f>T5-S5</f>
        <v>0.11999999999999922</v>
      </c>
      <c r="V5" s="29"/>
      <c r="W5" s="4">
        <f>'KALISAT '!J5</f>
        <v>11.45</v>
      </c>
      <c r="X5" s="4">
        <f>'KALISAT '!K5</f>
        <v>11.52</v>
      </c>
      <c r="Y5" s="4">
        <f>X5-W5</f>
        <v>7.0000000000000284E-2</v>
      </c>
      <c r="Z5" s="30"/>
      <c r="AA5" s="4">
        <f>MAYANG!J5</f>
        <v>16.18</v>
      </c>
      <c r="AB5" s="4">
        <f>MAYANG!K5</f>
        <v>16.260000000000002</v>
      </c>
      <c r="AC5" s="4">
        <f>AB5-AA5</f>
        <v>8.0000000000001847E-2</v>
      </c>
      <c r="AD5" s="30"/>
      <c r="AE5" s="4">
        <f>'COLO SUMBERJATI'!J5</f>
        <v>6.1</v>
      </c>
      <c r="AF5" s="4">
        <f>'COLO SUMBERJATI'!K5</f>
        <v>6.05</v>
      </c>
      <c r="AG5" s="4">
        <f>AF5-AE5</f>
        <v>-4.9999999999999822E-2</v>
      </c>
    </row>
    <row r="6" spans="1:33" x14ac:dyDescent="0.25">
      <c r="A6" s="55"/>
      <c r="B6" s="56"/>
      <c r="C6" s="5" t="s">
        <v>13</v>
      </c>
      <c r="D6" s="4">
        <v>110</v>
      </c>
      <c r="E6" s="4">
        <f>KONSOL!E6</f>
        <v>5</v>
      </c>
      <c r="F6" s="30"/>
      <c r="G6" s="4">
        <f>KONSOL!J6</f>
        <v>4.7</v>
      </c>
      <c r="H6" s="4">
        <f>KONSOL!K6</f>
        <v>4.7</v>
      </c>
      <c r="I6" s="4">
        <f t="shared" ref="I6:I31" si="0">H6-G6</f>
        <v>0</v>
      </c>
      <c r="J6" s="29"/>
      <c r="K6" s="4">
        <f>TEGALBOTO!J6</f>
        <v>4.6900000000000004</v>
      </c>
      <c r="L6" s="4">
        <f>TEGALBOTO!K6</f>
        <v>4.71</v>
      </c>
      <c r="M6" s="4">
        <f t="shared" ref="M6:M31" si="1">L6-K6</f>
        <v>1.9999999999999574E-2</v>
      </c>
      <c r="N6" s="29"/>
      <c r="O6" s="25">
        <f>'BASUKI RAHMAD'!J6</f>
        <v>0</v>
      </c>
      <c r="P6" s="25">
        <f>'BASUKI RAHMAD'!K6</f>
        <v>0</v>
      </c>
      <c r="Q6" s="25">
        <f t="shared" ref="Q6:Q31" si="2">P6-O6</f>
        <v>0</v>
      </c>
      <c r="R6" s="29"/>
      <c r="S6" s="25">
        <f>'S PARMAN'!J6</f>
        <v>0</v>
      </c>
      <c r="T6" s="25">
        <f>'S PARMAN'!K6</f>
        <v>0</v>
      </c>
      <c r="U6" s="25">
        <f t="shared" ref="U6:U31" si="3">T6-S6</f>
        <v>0</v>
      </c>
      <c r="V6" s="29"/>
      <c r="W6" s="4">
        <f>'KALISAT '!J6</f>
        <v>4.2300000000000004</v>
      </c>
      <c r="X6" s="4">
        <f>'KALISAT '!K6</f>
        <v>4.2300000000000004</v>
      </c>
      <c r="Y6" s="4">
        <f t="shared" ref="Y6:Y31" si="4">X6-W6</f>
        <v>0</v>
      </c>
      <c r="Z6" s="30"/>
      <c r="AA6" s="25">
        <f>MAYANG!J6</f>
        <v>0</v>
      </c>
      <c r="AB6" s="25">
        <f>MAYANG!K6</f>
        <v>0</v>
      </c>
      <c r="AC6" s="25">
        <f t="shared" ref="AC6:AC31" si="5">AB6-AA6</f>
        <v>0</v>
      </c>
      <c r="AD6" s="30"/>
      <c r="AE6" s="25">
        <f>'COLO SUMBERJATI'!J6</f>
        <v>0</v>
      </c>
      <c r="AF6" s="25">
        <f>'COLO SUMBERJATI'!K6</f>
        <v>0</v>
      </c>
      <c r="AG6" s="25">
        <f t="shared" ref="AG6:AG31" si="6">AF6-AE6</f>
        <v>0</v>
      </c>
    </row>
    <row r="7" spans="1:33" x14ac:dyDescent="0.25">
      <c r="A7" s="55"/>
      <c r="B7" s="56"/>
      <c r="C7" s="5" t="s">
        <v>14</v>
      </c>
      <c r="D7" s="6" t="s">
        <v>54</v>
      </c>
      <c r="E7" s="4">
        <f>KONSOL!E7</f>
        <v>7.5</v>
      </c>
      <c r="F7" s="30"/>
      <c r="G7" s="4">
        <f>KONSOL!J7</f>
        <v>8.16</v>
      </c>
      <c r="H7" s="4">
        <f>KONSOL!K7</f>
        <v>8.2200000000000006</v>
      </c>
      <c r="I7" s="4">
        <f t="shared" si="0"/>
        <v>6.0000000000000497E-2</v>
      </c>
      <c r="J7" s="29"/>
      <c r="K7" s="4">
        <f>TEGALBOTO!J7</f>
        <v>9.82</v>
      </c>
      <c r="L7" s="4">
        <f>TEGALBOTO!K7</f>
        <v>9.93</v>
      </c>
      <c r="M7" s="4">
        <f t="shared" si="1"/>
        <v>0.10999999999999943</v>
      </c>
      <c r="N7" s="29"/>
      <c r="O7" s="4">
        <f>'BASUKI RAHMAD'!J7</f>
        <v>12.15</v>
      </c>
      <c r="P7" s="4">
        <f>'BASUKI RAHMAD'!K7</f>
        <v>12.09</v>
      </c>
      <c r="Q7" s="4">
        <f t="shared" si="2"/>
        <v>-6.0000000000000497E-2</v>
      </c>
      <c r="R7" s="29"/>
      <c r="S7" s="4">
        <f>'S PARMAN'!J7</f>
        <v>9.77</v>
      </c>
      <c r="T7" s="4">
        <f>'S PARMAN'!K7</f>
        <v>9.9700000000000006</v>
      </c>
      <c r="U7" s="4">
        <f t="shared" si="3"/>
        <v>0.20000000000000107</v>
      </c>
      <c r="V7" s="29"/>
      <c r="W7" s="4">
        <f>'KALISAT '!J7</f>
        <v>7.1</v>
      </c>
      <c r="X7" s="4">
        <f>'KALISAT '!K7</f>
        <v>7.06</v>
      </c>
      <c r="Y7" s="4">
        <f t="shared" si="4"/>
        <v>-4.0000000000000036E-2</v>
      </c>
      <c r="Z7" s="30"/>
      <c r="AA7" s="4">
        <f>MAYANG!J7</f>
        <v>6</v>
      </c>
      <c r="AB7" s="4">
        <f>MAYANG!K7</f>
        <v>6.04</v>
      </c>
      <c r="AC7" s="4">
        <f t="shared" si="5"/>
        <v>4.0000000000000036E-2</v>
      </c>
      <c r="AD7" s="30"/>
      <c r="AE7" s="4">
        <f>'COLO SUMBERJATI'!J7</f>
        <v>5.91</v>
      </c>
      <c r="AF7" s="4">
        <f>'COLO SUMBERJATI'!K7</f>
        <v>5.84</v>
      </c>
      <c r="AG7" s="4">
        <f t="shared" si="6"/>
        <v>-7.0000000000000284E-2</v>
      </c>
    </row>
    <row r="8" spans="1:33" x14ac:dyDescent="0.25">
      <c r="A8" s="55"/>
      <c r="B8" s="56"/>
      <c r="C8" s="5" t="s">
        <v>15</v>
      </c>
      <c r="D8" s="4">
        <v>110</v>
      </c>
      <c r="E8" s="4">
        <f>KONSOL!E8</f>
        <v>5</v>
      </c>
      <c r="F8" s="30"/>
      <c r="G8" s="4">
        <f>KONSOL!J8</f>
        <v>5.5</v>
      </c>
      <c r="H8" s="4">
        <f>KONSOL!K8</f>
        <v>5.5</v>
      </c>
      <c r="I8" s="4">
        <f t="shared" si="0"/>
        <v>0</v>
      </c>
      <c r="J8" s="29"/>
      <c r="K8" s="4">
        <f>TEGALBOTO!J8</f>
        <v>5.5</v>
      </c>
      <c r="L8" s="4">
        <f>TEGALBOTO!K8</f>
        <v>5.5</v>
      </c>
      <c r="M8" s="4">
        <f t="shared" si="1"/>
        <v>0</v>
      </c>
      <c r="N8" s="29"/>
      <c r="O8" s="4">
        <f>'BASUKI RAHMAD'!J8</f>
        <v>5.45</v>
      </c>
      <c r="P8" s="4">
        <f>'BASUKI RAHMAD'!K8</f>
        <v>5.5</v>
      </c>
      <c r="Q8" s="4">
        <f t="shared" si="2"/>
        <v>4.9999999999999822E-2</v>
      </c>
      <c r="R8" s="29"/>
      <c r="S8" s="4">
        <f>'S PARMAN'!J8</f>
        <v>5.5</v>
      </c>
      <c r="T8" s="4">
        <f>'S PARMAN'!K8</f>
        <v>5.5</v>
      </c>
      <c r="U8" s="4">
        <f t="shared" si="3"/>
        <v>0</v>
      </c>
      <c r="V8" s="29"/>
      <c r="W8" s="4">
        <f>'KALISAT '!J8</f>
        <v>5.49</v>
      </c>
      <c r="X8" s="4">
        <f>'KALISAT '!K8</f>
        <v>5.38</v>
      </c>
      <c r="Y8" s="4">
        <f t="shared" si="4"/>
        <v>-0.11000000000000032</v>
      </c>
      <c r="Z8" s="30"/>
      <c r="AA8" s="4">
        <f>MAYANG!J8</f>
        <v>5.5</v>
      </c>
      <c r="AB8" s="4">
        <f>MAYANG!K8</f>
        <v>5.5</v>
      </c>
      <c r="AC8" s="4">
        <f t="shared" si="5"/>
        <v>0</v>
      </c>
      <c r="AD8" s="30"/>
      <c r="AE8" s="4">
        <f>'COLO SUMBERJATI'!J8</f>
        <v>1.44</v>
      </c>
      <c r="AF8" s="4">
        <f>'COLO SUMBERJATI'!K8</f>
        <v>1.55</v>
      </c>
      <c r="AG8" s="4">
        <f t="shared" si="6"/>
        <v>0.1100000000000001</v>
      </c>
    </row>
    <row r="9" spans="1:33" x14ac:dyDescent="0.25">
      <c r="A9" s="4">
        <v>2</v>
      </c>
      <c r="B9" s="5" t="s">
        <v>16</v>
      </c>
      <c r="C9" s="5" t="s">
        <v>16</v>
      </c>
      <c r="D9" s="4">
        <v>110</v>
      </c>
      <c r="E9" s="4">
        <f>KONSOL!E9</f>
        <v>10</v>
      </c>
      <c r="F9" s="30"/>
      <c r="G9" s="4">
        <f>KONSOL!J9</f>
        <v>4.34</v>
      </c>
      <c r="H9" s="4">
        <f>KONSOL!K9</f>
        <v>4.34</v>
      </c>
      <c r="I9" s="4">
        <f t="shared" si="0"/>
        <v>0</v>
      </c>
      <c r="J9" s="29"/>
      <c r="K9" s="4">
        <f>TEGALBOTO!J9</f>
        <v>4.3600000000000003</v>
      </c>
      <c r="L9" s="4">
        <f>TEGALBOTO!K9</f>
        <v>4.3600000000000003</v>
      </c>
      <c r="M9" s="4">
        <f t="shared" si="1"/>
        <v>0</v>
      </c>
      <c r="N9" s="29"/>
      <c r="O9" s="4">
        <f>'BASUKI RAHMAD'!J9</f>
        <v>4.24</v>
      </c>
      <c r="P9" s="4">
        <f>'BASUKI RAHMAD'!K9</f>
        <v>4.24</v>
      </c>
      <c r="Q9" s="4">
        <f t="shared" si="2"/>
        <v>0</v>
      </c>
      <c r="R9" s="29"/>
      <c r="S9" s="4">
        <f>'S PARMAN'!J9</f>
        <v>4.09</v>
      </c>
      <c r="T9" s="4">
        <f>'S PARMAN'!K9</f>
        <v>4.09</v>
      </c>
      <c r="U9" s="4">
        <f t="shared" si="3"/>
        <v>0</v>
      </c>
      <c r="V9" s="29"/>
      <c r="W9" s="4">
        <f>'KALISAT '!J9</f>
        <v>4.71</v>
      </c>
      <c r="X9" s="4">
        <f>'KALISAT '!K9</f>
        <v>4.71</v>
      </c>
      <c r="Y9" s="4">
        <f t="shared" si="4"/>
        <v>0</v>
      </c>
      <c r="Z9" s="30"/>
      <c r="AA9" s="4">
        <f>MAYANG!J9</f>
        <v>4.3499999999999996</v>
      </c>
      <c r="AB9" s="4">
        <f>MAYANG!K9</f>
        <v>4.3499999999999996</v>
      </c>
      <c r="AC9" s="4">
        <f t="shared" si="5"/>
        <v>0</v>
      </c>
      <c r="AD9" s="30"/>
      <c r="AE9" s="4">
        <f>'COLO SUMBERJATI'!J9</f>
        <v>1.68</v>
      </c>
      <c r="AF9" s="4">
        <f>'COLO SUMBERJATI'!K9</f>
        <v>1.68</v>
      </c>
      <c r="AG9" s="4">
        <f t="shared" si="6"/>
        <v>0</v>
      </c>
    </row>
    <row r="10" spans="1:33" x14ac:dyDescent="0.25">
      <c r="A10" s="4">
        <v>3</v>
      </c>
      <c r="B10" s="5" t="s">
        <v>17</v>
      </c>
      <c r="C10" s="20" t="s">
        <v>17</v>
      </c>
      <c r="D10" s="4">
        <v>110</v>
      </c>
      <c r="E10" s="25">
        <f>KONSOL!E10</f>
        <v>0</v>
      </c>
      <c r="F10" s="30"/>
      <c r="G10" s="25">
        <f>KONSOL!J10</f>
        <v>0</v>
      </c>
      <c r="H10" s="25">
        <f>KONSOL!K10</f>
        <v>0</v>
      </c>
      <c r="I10" s="25">
        <f t="shared" si="0"/>
        <v>0</v>
      </c>
      <c r="J10" s="29"/>
      <c r="K10" s="25">
        <f>TEGALBOTO!J10</f>
        <v>0</v>
      </c>
      <c r="L10" s="25">
        <f>TEGALBOTO!K10</f>
        <v>0</v>
      </c>
      <c r="M10" s="25">
        <f t="shared" si="1"/>
        <v>0</v>
      </c>
      <c r="N10" s="29"/>
      <c r="O10" s="25">
        <f>'BASUKI RAHMAD'!J10</f>
        <v>0</v>
      </c>
      <c r="P10" s="25">
        <f>'BASUKI RAHMAD'!K10</f>
        <v>0</v>
      </c>
      <c r="Q10" s="25">
        <f t="shared" si="2"/>
        <v>0</v>
      </c>
      <c r="R10" s="29"/>
      <c r="S10" s="25">
        <f>'S PARMAN'!J10</f>
        <v>0</v>
      </c>
      <c r="T10" s="25">
        <f>'S PARMAN'!K10</f>
        <v>0</v>
      </c>
      <c r="U10" s="25">
        <f t="shared" si="3"/>
        <v>0</v>
      </c>
      <c r="V10" s="29"/>
      <c r="W10" s="25">
        <f>'KALISAT '!J10</f>
        <v>0</v>
      </c>
      <c r="X10" s="25">
        <f>'KALISAT '!K10</f>
        <v>0</v>
      </c>
      <c r="Y10" s="25">
        <f t="shared" si="4"/>
        <v>0</v>
      </c>
      <c r="Z10" s="30"/>
      <c r="AA10" s="25">
        <f>MAYANG!J10</f>
        <v>0</v>
      </c>
      <c r="AB10" s="25">
        <f>MAYANG!K10</f>
        <v>0</v>
      </c>
      <c r="AC10" s="25">
        <f t="shared" si="5"/>
        <v>0</v>
      </c>
      <c r="AD10" s="30"/>
      <c r="AE10" s="25">
        <f>'COLO SUMBERJATI'!J10</f>
        <v>0</v>
      </c>
      <c r="AF10" s="25">
        <f>'COLO SUMBERJATI'!K10</f>
        <v>0</v>
      </c>
      <c r="AG10" s="25">
        <f t="shared" si="6"/>
        <v>0</v>
      </c>
    </row>
    <row r="11" spans="1:33" x14ac:dyDescent="0.25">
      <c r="A11" s="55">
        <v>4</v>
      </c>
      <c r="B11" s="56" t="s">
        <v>18</v>
      </c>
      <c r="C11" s="5" t="s">
        <v>19</v>
      </c>
      <c r="D11" s="4">
        <v>110</v>
      </c>
      <c r="E11" s="4">
        <f>KONSOL!E11</f>
        <v>5</v>
      </c>
      <c r="F11" s="30"/>
      <c r="G11" s="4">
        <f>KONSOL!J11</f>
        <v>2.0699999999999998</v>
      </c>
      <c r="H11" s="4">
        <f>KONSOL!K11</f>
        <v>2.42</v>
      </c>
      <c r="I11" s="4">
        <f t="shared" si="0"/>
        <v>0.35000000000000009</v>
      </c>
      <c r="J11" s="29"/>
      <c r="K11" s="4">
        <f>TEGALBOTO!J11</f>
        <v>4.84</v>
      </c>
      <c r="L11" s="4">
        <f>TEGALBOTO!K11</f>
        <v>5.17</v>
      </c>
      <c r="M11" s="4">
        <f t="shared" si="1"/>
        <v>0.33000000000000007</v>
      </c>
      <c r="N11" s="29"/>
      <c r="O11" s="4">
        <f>'BASUKI RAHMAD'!J11</f>
        <v>1.06</v>
      </c>
      <c r="P11" s="4">
        <f>'BASUKI RAHMAD'!K11</f>
        <v>1.3</v>
      </c>
      <c r="Q11" s="4">
        <f t="shared" si="2"/>
        <v>0.24</v>
      </c>
      <c r="R11" s="29"/>
      <c r="S11" s="4">
        <f>'S PARMAN'!J11</f>
        <v>1.51</v>
      </c>
      <c r="T11" s="4">
        <f>'S PARMAN'!K11</f>
        <v>2.08</v>
      </c>
      <c r="U11" s="4">
        <f t="shared" si="3"/>
        <v>0.57000000000000006</v>
      </c>
      <c r="V11" s="29"/>
      <c r="W11" s="4">
        <f>'KALISAT '!J11</f>
        <v>1.4</v>
      </c>
      <c r="X11" s="4">
        <f>'KALISAT '!K11</f>
        <v>1.47</v>
      </c>
      <c r="Y11" s="4">
        <f t="shared" si="4"/>
        <v>7.0000000000000062E-2</v>
      </c>
      <c r="Z11" s="30"/>
      <c r="AA11" s="4">
        <f>MAYANG!J11</f>
        <v>0.94</v>
      </c>
      <c r="AB11" s="4">
        <f>MAYANG!K11</f>
        <v>1.42</v>
      </c>
      <c r="AC11" s="4">
        <f t="shared" si="5"/>
        <v>0.48</v>
      </c>
      <c r="AD11" s="30"/>
      <c r="AE11" s="4">
        <f>'COLO SUMBERJATI'!J11</f>
        <v>0.3</v>
      </c>
      <c r="AF11" s="4">
        <f>'COLO SUMBERJATI'!K11</f>
        <v>0.93</v>
      </c>
      <c r="AG11" s="4">
        <f t="shared" si="6"/>
        <v>0.63000000000000012</v>
      </c>
    </row>
    <row r="12" spans="1:33" x14ac:dyDescent="0.25">
      <c r="A12" s="55"/>
      <c r="B12" s="56"/>
      <c r="C12" s="5" t="s">
        <v>20</v>
      </c>
      <c r="D12" s="4">
        <v>110</v>
      </c>
      <c r="E12" s="4">
        <f>KONSOL!E12</f>
        <v>2.5</v>
      </c>
      <c r="F12" s="30"/>
      <c r="G12" s="4">
        <f>KONSOL!J12</f>
        <v>1.85</v>
      </c>
      <c r="H12" s="4">
        <f>KONSOL!K12</f>
        <v>2.19</v>
      </c>
      <c r="I12" s="4">
        <f t="shared" si="0"/>
        <v>0.33999999999999986</v>
      </c>
      <c r="J12" s="29"/>
      <c r="K12" s="4">
        <f>TEGALBOTO!J12</f>
        <v>2.75</v>
      </c>
      <c r="L12" s="4">
        <f>TEGALBOTO!K12</f>
        <v>2.75</v>
      </c>
      <c r="M12" s="4">
        <f t="shared" si="1"/>
        <v>0</v>
      </c>
      <c r="N12" s="29"/>
      <c r="O12" s="4">
        <f>'BASUKI RAHMAD'!J12</f>
        <v>1.71</v>
      </c>
      <c r="P12" s="4">
        <f>'BASUKI RAHMAD'!K12</f>
        <v>2.75</v>
      </c>
      <c r="Q12" s="4">
        <f t="shared" si="2"/>
        <v>1.04</v>
      </c>
      <c r="R12" s="29"/>
      <c r="S12" s="4">
        <f>'S PARMAN'!J12</f>
        <v>1.98</v>
      </c>
      <c r="T12" s="4">
        <f>'S PARMAN'!K12</f>
        <v>2.5499999999999998</v>
      </c>
      <c r="U12" s="4">
        <f t="shared" si="3"/>
        <v>0.56999999999999984</v>
      </c>
      <c r="V12" s="29"/>
      <c r="W12" s="4">
        <f>'KALISAT '!J12</f>
        <v>2.75</v>
      </c>
      <c r="X12" s="4">
        <f>'KALISAT '!K12</f>
        <v>2.75</v>
      </c>
      <c r="Y12" s="4">
        <f t="shared" si="4"/>
        <v>0</v>
      </c>
      <c r="Z12" s="30"/>
      <c r="AA12" s="4">
        <f>MAYANG!J12</f>
        <v>1.29</v>
      </c>
      <c r="AB12" s="4">
        <f>MAYANG!K12</f>
        <v>1.34</v>
      </c>
      <c r="AC12" s="4">
        <f t="shared" si="5"/>
        <v>5.0000000000000044E-2</v>
      </c>
      <c r="AD12" s="30"/>
      <c r="AE12" s="4">
        <f>'COLO SUMBERJATI'!J12</f>
        <v>0.25</v>
      </c>
      <c r="AF12" s="4">
        <f>'COLO SUMBERJATI'!K12</f>
        <v>0.25</v>
      </c>
      <c r="AG12" s="4">
        <f t="shared" si="6"/>
        <v>0</v>
      </c>
    </row>
    <row r="13" spans="1:33" x14ac:dyDescent="0.25">
      <c r="A13" s="55"/>
      <c r="B13" s="56"/>
      <c r="C13" s="5" t="s">
        <v>21</v>
      </c>
      <c r="D13" s="4">
        <v>110</v>
      </c>
      <c r="E13" s="4">
        <f>KONSOL!E13</f>
        <v>5</v>
      </c>
      <c r="F13" s="30"/>
      <c r="G13" s="4">
        <f>KONSOL!J13</f>
        <v>3.22</v>
      </c>
      <c r="H13" s="4">
        <f>KONSOL!K13</f>
        <v>3.37</v>
      </c>
      <c r="I13" s="4">
        <f t="shared" si="0"/>
        <v>0.14999999999999991</v>
      </c>
      <c r="J13" s="29"/>
      <c r="K13" s="4">
        <f>TEGALBOTO!J13</f>
        <v>3.64</v>
      </c>
      <c r="L13" s="4">
        <f>TEGALBOTO!K13</f>
        <v>3.76</v>
      </c>
      <c r="M13" s="4">
        <f t="shared" si="1"/>
        <v>0.11999999999999966</v>
      </c>
      <c r="N13" s="29"/>
      <c r="O13" s="4">
        <f>'BASUKI RAHMAD'!J13</f>
        <v>2.79</v>
      </c>
      <c r="P13" s="4">
        <f>'BASUKI RAHMAD'!K13</f>
        <v>2.95</v>
      </c>
      <c r="Q13" s="4">
        <f t="shared" si="2"/>
        <v>0.16000000000000014</v>
      </c>
      <c r="R13" s="29"/>
      <c r="S13" s="4">
        <f>'S PARMAN'!J13</f>
        <v>3.16</v>
      </c>
      <c r="T13" s="4">
        <f>'S PARMAN'!K13</f>
        <v>3.39</v>
      </c>
      <c r="U13" s="4">
        <f t="shared" si="3"/>
        <v>0.22999999999999998</v>
      </c>
      <c r="V13" s="29"/>
      <c r="W13" s="4">
        <f>'KALISAT '!J13</f>
        <v>3.38</v>
      </c>
      <c r="X13" s="4">
        <f>'KALISAT '!K13</f>
        <v>3.46</v>
      </c>
      <c r="Y13" s="4">
        <f t="shared" si="4"/>
        <v>8.0000000000000071E-2</v>
      </c>
      <c r="Z13" s="30"/>
      <c r="AA13" s="4">
        <f>MAYANG!J13</f>
        <v>3</v>
      </c>
      <c r="AB13" s="4">
        <f>MAYANG!K13</f>
        <v>3.26</v>
      </c>
      <c r="AC13" s="4">
        <f t="shared" si="5"/>
        <v>0.25999999999999979</v>
      </c>
      <c r="AD13" s="30"/>
      <c r="AE13" s="4">
        <f>'COLO SUMBERJATI'!J13</f>
        <v>1.01</v>
      </c>
      <c r="AF13" s="4">
        <f>'COLO SUMBERJATI'!K13</f>
        <v>1.05</v>
      </c>
      <c r="AG13" s="4">
        <f t="shared" si="6"/>
        <v>4.0000000000000036E-2</v>
      </c>
    </row>
    <row r="14" spans="1:33" x14ac:dyDescent="0.25">
      <c r="A14" s="55"/>
      <c r="B14" s="56"/>
      <c r="C14" s="5" t="s">
        <v>22</v>
      </c>
      <c r="D14" s="4">
        <v>110</v>
      </c>
      <c r="E14" s="4">
        <f>KONSOL!E14</f>
        <v>5</v>
      </c>
      <c r="F14" s="30"/>
      <c r="G14" s="4">
        <f>KONSOL!J14</f>
        <v>4.68</v>
      </c>
      <c r="H14" s="4">
        <f>KONSOL!K14</f>
        <v>4.71</v>
      </c>
      <c r="I14" s="4">
        <f t="shared" si="0"/>
        <v>3.0000000000000249E-2</v>
      </c>
      <c r="J14" s="29"/>
      <c r="K14" s="4">
        <f>TEGALBOTO!J14</f>
        <v>4.7</v>
      </c>
      <c r="L14" s="4">
        <f>TEGALBOTO!K14</f>
        <v>4.74</v>
      </c>
      <c r="M14" s="4">
        <f t="shared" si="1"/>
        <v>4.0000000000000036E-2</v>
      </c>
      <c r="N14" s="29"/>
      <c r="O14" s="4">
        <f>'BASUKI RAHMAD'!J14</f>
        <v>4.6399999999999997</v>
      </c>
      <c r="P14" s="4">
        <f>'BASUKI RAHMAD'!K14</f>
        <v>4.8</v>
      </c>
      <c r="Q14" s="4">
        <f t="shared" si="2"/>
        <v>0.16000000000000014</v>
      </c>
      <c r="R14" s="29"/>
      <c r="S14" s="4">
        <f>'S PARMAN'!J14</f>
        <v>4.96</v>
      </c>
      <c r="T14" s="4">
        <f>'S PARMAN'!K14</f>
        <v>4.8899999999999997</v>
      </c>
      <c r="U14" s="4">
        <f t="shared" si="3"/>
        <v>-7.0000000000000284E-2</v>
      </c>
      <c r="V14" s="29"/>
      <c r="W14" s="4">
        <f>'KALISAT '!J14</f>
        <v>4.79</v>
      </c>
      <c r="X14" s="4">
        <f>'KALISAT '!K14</f>
        <v>4.7699999999999996</v>
      </c>
      <c r="Y14" s="4">
        <f t="shared" si="4"/>
        <v>-2.0000000000000462E-2</v>
      </c>
      <c r="Z14" s="30"/>
      <c r="AA14" s="4">
        <f>MAYANG!J14</f>
        <v>4.59</v>
      </c>
      <c r="AB14" s="4">
        <f>MAYANG!K14</f>
        <v>4.55</v>
      </c>
      <c r="AC14" s="4">
        <f t="shared" si="5"/>
        <v>-4.0000000000000036E-2</v>
      </c>
      <c r="AD14" s="30"/>
      <c r="AE14" s="4">
        <f>'COLO SUMBERJATI'!J14</f>
        <v>2.39</v>
      </c>
      <c r="AF14" s="4">
        <f>'COLO SUMBERJATI'!K14</f>
        <v>2.2799999999999998</v>
      </c>
      <c r="AG14" s="4">
        <f t="shared" si="6"/>
        <v>-0.11000000000000032</v>
      </c>
    </row>
    <row r="15" spans="1:33" x14ac:dyDescent="0.25">
      <c r="A15" s="55">
        <v>5</v>
      </c>
      <c r="B15" s="56" t="s">
        <v>23</v>
      </c>
      <c r="C15" s="5" t="s">
        <v>24</v>
      </c>
      <c r="D15" s="4">
        <v>110</v>
      </c>
      <c r="E15" s="4">
        <f>KONSOL!E15</f>
        <v>3</v>
      </c>
      <c r="F15" s="30"/>
      <c r="G15" s="4">
        <f>KONSOL!J15</f>
        <v>3.3</v>
      </c>
      <c r="H15" s="4">
        <f>KONSOL!K15</f>
        <v>3.3</v>
      </c>
      <c r="I15" s="4">
        <f t="shared" si="0"/>
        <v>0</v>
      </c>
      <c r="J15" s="29"/>
      <c r="K15" s="4">
        <f>TEGALBOTO!J15</f>
        <v>3.3</v>
      </c>
      <c r="L15" s="4">
        <f>TEGALBOTO!K15</f>
        <v>3.3</v>
      </c>
      <c r="M15" s="4">
        <f t="shared" si="1"/>
        <v>0</v>
      </c>
      <c r="N15" s="29"/>
      <c r="O15" s="4">
        <f>'BASUKI RAHMAD'!J15</f>
        <v>3.3</v>
      </c>
      <c r="P15" s="4">
        <f>'BASUKI RAHMAD'!K15</f>
        <v>3.3</v>
      </c>
      <c r="Q15" s="4">
        <f t="shared" si="2"/>
        <v>0</v>
      </c>
      <c r="R15" s="29"/>
      <c r="S15" s="4">
        <f>'S PARMAN'!J15</f>
        <v>3.3</v>
      </c>
      <c r="T15" s="4">
        <f>'S PARMAN'!K15</f>
        <v>3.3</v>
      </c>
      <c r="U15" s="4">
        <f t="shared" si="3"/>
        <v>0</v>
      </c>
      <c r="V15" s="29"/>
      <c r="W15" s="4">
        <f>'KALISAT '!J15</f>
        <v>3.3</v>
      </c>
      <c r="X15" s="4">
        <f>'KALISAT '!K15</f>
        <v>3.3</v>
      </c>
      <c r="Y15" s="4">
        <f t="shared" si="4"/>
        <v>0</v>
      </c>
      <c r="Z15" s="30"/>
      <c r="AA15" s="4">
        <f>MAYANG!J15</f>
        <v>3.3</v>
      </c>
      <c r="AB15" s="4">
        <f>MAYANG!K15</f>
        <v>3.3</v>
      </c>
      <c r="AC15" s="4">
        <f t="shared" si="5"/>
        <v>0</v>
      </c>
      <c r="AD15" s="30"/>
      <c r="AE15" s="4">
        <f>'COLO SUMBERJATI'!J15</f>
        <v>4.4000000000000004</v>
      </c>
      <c r="AF15" s="4">
        <f>'COLO SUMBERJATI'!K15</f>
        <v>4.4000000000000004</v>
      </c>
      <c r="AG15" s="4">
        <f t="shared" si="6"/>
        <v>0</v>
      </c>
    </row>
    <row r="16" spans="1:33" x14ac:dyDescent="0.25">
      <c r="A16" s="55"/>
      <c r="B16" s="56"/>
      <c r="C16" s="5" t="s">
        <v>25</v>
      </c>
      <c r="D16" s="4">
        <v>110</v>
      </c>
      <c r="E16" s="4">
        <f>KONSOL!E16</f>
        <v>2</v>
      </c>
      <c r="F16" s="30"/>
      <c r="G16" s="4">
        <f>KONSOL!J16</f>
        <v>1.75</v>
      </c>
      <c r="H16" s="4">
        <f>KONSOL!K16</f>
        <v>2.2000000000000002</v>
      </c>
      <c r="I16" s="4">
        <f t="shared" si="0"/>
        <v>0.45000000000000018</v>
      </c>
      <c r="J16" s="29"/>
      <c r="K16" s="4">
        <f>TEGALBOTO!J16</f>
        <v>1.96</v>
      </c>
      <c r="L16" s="4">
        <f>TEGALBOTO!K16</f>
        <v>1.82</v>
      </c>
      <c r="M16" s="4">
        <f t="shared" si="1"/>
        <v>-0.1399999999999999</v>
      </c>
      <c r="N16" s="29"/>
      <c r="O16" s="4">
        <f>'BASUKI RAHMAD'!J16</f>
        <v>2.2000000000000002</v>
      </c>
      <c r="P16" s="4">
        <f>'BASUKI RAHMAD'!K16</f>
        <v>2.2000000000000002</v>
      </c>
      <c r="Q16" s="4">
        <f t="shared" si="2"/>
        <v>0</v>
      </c>
      <c r="R16" s="29"/>
      <c r="S16" s="4">
        <f>'S PARMAN'!J16</f>
        <v>2.2000000000000002</v>
      </c>
      <c r="T16" s="4">
        <f>'S PARMAN'!K16</f>
        <v>2.2000000000000002</v>
      </c>
      <c r="U16" s="4">
        <f t="shared" si="3"/>
        <v>0</v>
      </c>
      <c r="V16" s="29"/>
      <c r="W16" s="4">
        <f>'KALISAT '!J16</f>
        <v>1.1100000000000001</v>
      </c>
      <c r="X16" s="4">
        <f>'KALISAT '!K16</f>
        <v>2.2000000000000002</v>
      </c>
      <c r="Y16" s="4">
        <f t="shared" si="4"/>
        <v>1.0900000000000001</v>
      </c>
      <c r="Z16" s="30"/>
      <c r="AA16" s="4">
        <f>MAYANG!J16</f>
        <v>2.2000000000000002</v>
      </c>
      <c r="AB16" s="4">
        <f>MAYANG!K16</f>
        <v>2.2000000000000002</v>
      </c>
      <c r="AC16" s="4">
        <f t="shared" si="5"/>
        <v>0</v>
      </c>
      <c r="AD16" s="30"/>
      <c r="AE16" s="25">
        <v>0</v>
      </c>
      <c r="AF16" s="25">
        <f>'COLO SUMBERJATI'!K16</f>
        <v>0</v>
      </c>
      <c r="AG16" s="25">
        <f t="shared" si="6"/>
        <v>0</v>
      </c>
    </row>
    <row r="17" spans="1:33" x14ac:dyDescent="0.25">
      <c r="A17" s="55"/>
      <c r="B17" s="56"/>
      <c r="C17" s="5" t="s">
        <v>26</v>
      </c>
      <c r="D17" s="4">
        <v>110</v>
      </c>
      <c r="E17" s="4">
        <f>KONSOL!E17</f>
        <v>2.5</v>
      </c>
      <c r="F17" s="30"/>
      <c r="G17" s="4">
        <f>KONSOL!J17</f>
        <v>2.75</v>
      </c>
      <c r="H17" s="4">
        <f>KONSOL!K17</f>
        <v>2.75</v>
      </c>
      <c r="I17" s="4">
        <f t="shared" si="0"/>
        <v>0</v>
      </c>
      <c r="J17" s="29"/>
      <c r="K17" s="4">
        <f>TEGALBOTO!J17</f>
        <v>2.75</v>
      </c>
      <c r="L17" s="4">
        <f>TEGALBOTO!K17</f>
        <v>2.75</v>
      </c>
      <c r="M17" s="4">
        <f t="shared" si="1"/>
        <v>0</v>
      </c>
      <c r="N17" s="29"/>
      <c r="O17" s="4">
        <f>'BASUKI RAHMAD'!J17</f>
        <v>2.75</v>
      </c>
      <c r="P17" s="4">
        <f>'BASUKI RAHMAD'!K17</f>
        <v>2.75</v>
      </c>
      <c r="Q17" s="4">
        <f t="shared" si="2"/>
        <v>0</v>
      </c>
      <c r="R17" s="29"/>
      <c r="S17" s="4">
        <f>'S PARMAN'!J17</f>
        <v>2.75</v>
      </c>
      <c r="T17" s="4">
        <f>'S PARMAN'!K17</f>
        <v>2.75</v>
      </c>
      <c r="U17" s="4">
        <f t="shared" si="3"/>
        <v>0</v>
      </c>
      <c r="V17" s="29"/>
      <c r="W17" s="4">
        <f>'KALISAT '!J17</f>
        <v>2.75</v>
      </c>
      <c r="X17" s="4">
        <f>'KALISAT '!K17</f>
        <v>2.75</v>
      </c>
      <c r="Y17" s="4">
        <f t="shared" si="4"/>
        <v>0</v>
      </c>
      <c r="Z17" s="30"/>
      <c r="AA17" s="4">
        <f>MAYANG!J17</f>
        <v>2.75</v>
      </c>
      <c r="AB17" s="4">
        <f>MAYANG!K17</f>
        <v>2.75</v>
      </c>
      <c r="AC17" s="4">
        <f t="shared" si="5"/>
        <v>0</v>
      </c>
      <c r="AD17" s="30"/>
      <c r="AE17" s="4">
        <f>'COLO SUMBERJATI'!J17</f>
        <v>3.85</v>
      </c>
      <c r="AF17" s="4">
        <f>'COLO SUMBERJATI'!K17</f>
        <v>3.85</v>
      </c>
      <c r="AG17" s="4">
        <f t="shared" si="6"/>
        <v>0</v>
      </c>
    </row>
    <row r="18" spans="1:33" x14ac:dyDescent="0.25">
      <c r="A18" s="55"/>
      <c r="B18" s="56"/>
      <c r="C18" s="5" t="s">
        <v>27</v>
      </c>
      <c r="D18" s="4">
        <v>110</v>
      </c>
      <c r="E18" s="4">
        <f>KONSOL!E18</f>
        <v>3</v>
      </c>
      <c r="F18" s="30"/>
      <c r="G18" s="4">
        <f>KONSOL!J18</f>
        <v>2.65</v>
      </c>
      <c r="H18" s="4">
        <f>KONSOL!K18</f>
        <v>2.58</v>
      </c>
      <c r="I18" s="4">
        <f t="shared" si="0"/>
        <v>-6.999999999999984E-2</v>
      </c>
      <c r="J18" s="29"/>
      <c r="K18" s="4">
        <f>TEGALBOTO!J18</f>
        <v>2.72</v>
      </c>
      <c r="L18" s="4">
        <f>TEGALBOTO!K18</f>
        <v>1.1000000000000001</v>
      </c>
      <c r="M18" s="4">
        <f t="shared" si="1"/>
        <v>-1.62</v>
      </c>
      <c r="N18" s="29"/>
      <c r="O18" s="4">
        <f>'BASUKI RAHMAD'!J18</f>
        <v>1.76</v>
      </c>
      <c r="P18" s="4">
        <f>'BASUKI RAHMAD'!K18</f>
        <v>0.88</v>
      </c>
      <c r="Q18" s="4">
        <f t="shared" si="2"/>
        <v>-0.88</v>
      </c>
      <c r="R18" s="29"/>
      <c r="S18" s="4">
        <f>'S PARMAN'!J18</f>
        <v>2.89</v>
      </c>
      <c r="T18" s="4">
        <f>'S PARMAN'!K18</f>
        <v>1.21</v>
      </c>
      <c r="U18" s="4">
        <f t="shared" si="3"/>
        <v>-1.6800000000000002</v>
      </c>
      <c r="V18" s="29"/>
      <c r="W18" s="4">
        <f>'KALISAT '!J18</f>
        <v>2.84</v>
      </c>
      <c r="X18" s="4">
        <f>'KALISAT '!K18</f>
        <v>2.42</v>
      </c>
      <c r="Y18" s="4">
        <f t="shared" si="4"/>
        <v>-0.41999999999999993</v>
      </c>
      <c r="Z18" s="30"/>
      <c r="AA18" s="4">
        <f>MAYANG!J18</f>
        <v>3.3</v>
      </c>
      <c r="AB18" s="4">
        <f>MAYANG!K18</f>
        <v>1.47</v>
      </c>
      <c r="AC18" s="4">
        <f t="shared" si="5"/>
        <v>-1.8299999999999998</v>
      </c>
      <c r="AD18" s="30"/>
      <c r="AE18" s="4">
        <f>'COLO SUMBERJATI'!J18</f>
        <v>4.4000000000000004</v>
      </c>
      <c r="AF18" s="4">
        <f>'COLO SUMBERJATI'!K18</f>
        <v>3.71</v>
      </c>
      <c r="AG18" s="4">
        <f t="shared" si="6"/>
        <v>-0.69000000000000039</v>
      </c>
    </row>
    <row r="19" spans="1:33" x14ac:dyDescent="0.25">
      <c r="A19" s="55"/>
      <c r="B19" s="56"/>
      <c r="C19" s="5" t="s">
        <v>28</v>
      </c>
      <c r="D19" s="4">
        <v>110</v>
      </c>
      <c r="E19" s="4">
        <f>KONSOL!E19</f>
        <v>2</v>
      </c>
      <c r="F19" s="30"/>
      <c r="G19" s="4">
        <f>KONSOL!J19</f>
        <v>1.41</v>
      </c>
      <c r="H19" s="4">
        <f>KONSOL!K19</f>
        <v>2.2000000000000002</v>
      </c>
      <c r="I19" s="4">
        <f t="shared" si="0"/>
        <v>0.79000000000000026</v>
      </c>
      <c r="J19" s="29"/>
      <c r="K19" s="4">
        <f>TEGALBOTO!J19</f>
        <v>1.59</v>
      </c>
      <c r="L19" s="4">
        <f>TEGALBOTO!K19</f>
        <v>2.2000000000000002</v>
      </c>
      <c r="M19" s="4">
        <f t="shared" si="1"/>
        <v>0.6100000000000001</v>
      </c>
      <c r="N19" s="29"/>
      <c r="O19" s="4">
        <f>'BASUKI RAHMAD'!J19</f>
        <v>2.2000000000000002</v>
      </c>
      <c r="P19" s="4">
        <f>'BASUKI RAHMAD'!K19</f>
        <v>2.2000000000000002</v>
      </c>
      <c r="Q19" s="4">
        <f t="shared" si="2"/>
        <v>0</v>
      </c>
      <c r="R19" s="29"/>
      <c r="S19" s="4">
        <f>'S PARMAN'!J19</f>
        <v>2.2000000000000002</v>
      </c>
      <c r="T19" s="4">
        <f>'S PARMAN'!K19</f>
        <v>2.2000000000000002</v>
      </c>
      <c r="U19" s="4">
        <f t="shared" si="3"/>
        <v>0</v>
      </c>
      <c r="V19" s="29"/>
      <c r="W19" s="4">
        <f>'KALISAT '!J19</f>
        <v>1.1100000000000001</v>
      </c>
      <c r="X19" s="4">
        <f>'KALISAT '!K19</f>
        <v>1.85</v>
      </c>
      <c r="Y19" s="4">
        <f t="shared" si="4"/>
        <v>0.74</v>
      </c>
      <c r="Z19" s="30"/>
      <c r="AA19" s="4">
        <f>MAYANG!J19</f>
        <v>0.73</v>
      </c>
      <c r="AB19" s="4">
        <f>MAYANG!K19</f>
        <v>1.56</v>
      </c>
      <c r="AC19" s="4">
        <f t="shared" si="5"/>
        <v>0.83000000000000007</v>
      </c>
      <c r="AD19" s="30"/>
      <c r="AE19" s="25">
        <f>'COLO SUMBERJATI'!J19</f>
        <v>0</v>
      </c>
      <c r="AF19" s="25">
        <f>'COLO SUMBERJATI'!K19</f>
        <v>0</v>
      </c>
      <c r="AG19" s="25">
        <f t="shared" si="6"/>
        <v>0</v>
      </c>
    </row>
    <row r="20" spans="1:33" x14ac:dyDescent="0.25">
      <c r="A20" s="55"/>
      <c r="B20" s="56"/>
      <c r="C20" s="5" t="s">
        <v>29</v>
      </c>
      <c r="D20" s="4">
        <v>110</v>
      </c>
      <c r="E20" s="4">
        <f>KONSOL!E20</f>
        <v>2.5</v>
      </c>
      <c r="F20" s="30"/>
      <c r="G20" s="4">
        <f>KONSOL!J20</f>
        <v>2.75</v>
      </c>
      <c r="H20" s="4">
        <f>KONSOL!K20</f>
        <v>2.75</v>
      </c>
      <c r="I20" s="4">
        <f t="shared" si="0"/>
        <v>0</v>
      </c>
      <c r="J20" s="29"/>
      <c r="K20" s="4">
        <f>TEGALBOTO!J20</f>
        <v>2.75</v>
      </c>
      <c r="L20" s="4">
        <f>TEGALBOTO!K20</f>
        <v>2.75</v>
      </c>
      <c r="M20" s="4">
        <f t="shared" si="1"/>
        <v>0</v>
      </c>
      <c r="N20" s="29"/>
      <c r="O20" s="4">
        <f>'BASUKI RAHMAD'!J20</f>
        <v>2.75</v>
      </c>
      <c r="P20" s="4">
        <f>'BASUKI RAHMAD'!K20</f>
        <v>2.75</v>
      </c>
      <c r="Q20" s="4">
        <f t="shared" si="2"/>
        <v>0</v>
      </c>
      <c r="R20" s="29"/>
      <c r="S20" s="4">
        <f>'S PARMAN'!J20</f>
        <v>2.75</v>
      </c>
      <c r="T20" s="28">
        <f>'S PARMAN'!K20</f>
        <v>2.35</v>
      </c>
      <c r="U20" s="4">
        <f t="shared" si="3"/>
        <v>-0.39999999999999991</v>
      </c>
      <c r="V20" s="29"/>
      <c r="W20" s="4">
        <f>'KALISAT '!J20</f>
        <v>1.56</v>
      </c>
      <c r="X20" s="4">
        <f>'KALISAT '!K20</f>
        <v>2.2400000000000002</v>
      </c>
      <c r="Y20" s="4">
        <f t="shared" si="4"/>
        <v>0.68000000000000016</v>
      </c>
      <c r="Z20" s="30"/>
      <c r="AA20" s="4">
        <f>MAYANG!J20</f>
        <v>2.75</v>
      </c>
      <c r="AB20" s="4">
        <f>MAYANG!K20</f>
        <v>2.75</v>
      </c>
      <c r="AC20" s="4">
        <f t="shared" si="5"/>
        <v>0</v>
      </c>
      <c r="AD20" s="30"/>
      <c r="AE20" s="4">
        <f>'COLO SUMBERJATI'!J20</f>
        <v>1.37</v>
      </c>
      <c r="AF20" s="4">
        <f>'COLO SUMBERJATI'!K20</f>
        <v>1.52</v>
      </c>
      <c r="AG20" s="4">
        <f t="shared" si="6"/>
        <v>0.14999999999999991</v>
      </c>
    </row>
    <row r="21" spans="1:33" x14ac:dyDescent="0.25">
      <c r="A21" s="4">
        <v>6</v>
      </c>
      <c r="B21" s="5" t="s">
        <v>30</v>
      </c>
      <c r="C21" s="20" t="s">
        <v>31</v>
      </c>
      <c r="D21" s="4">
        <v>110</v>
      </c>
      <c r="E21" s="25">
        <f>KONSOL!E21</f>
        <v>0</v>
      </c>
      <c r="F21" s="30"/>
      <c r="G21" s="25">
        <f>KONSOL!J21</f>
        <v>0</v>
      </c>
      <c r="H21" s="25">
        <f>KONSOL!K21</f>
        <v>0</v>
      </c>
      <c r="I21" s="25">
        <f t="shared" si="0"/>
        <v>0</v>
      </c>
      <c r="J21" s="29"/>
      <c r="K21" s="25">
        <f>TEGALBOTO!J21</f>
        <v>0</v>
      </c>
      <c r="L21" s="25">
        <f>TEGALBOTO!K21</f>
        <v>0</v>
      </c>
      <c r="M21" s="25">
        <f t="shared" si="1"/>
        <v>0</v>
      </c>
      <c r="N21" s="29"/>
      <c r="O21" s="25">
        <f>'BASUKI RAHMAD'!J21</f>
        <v>0</v>
      </c>
      <c r="P21" s="25">
        <f>'BASUKI RAHMAD'!K21</f>
        <v>0</v>
      </c>
      <c r="Q21" s="25">
        <f t="shared" si="2"/>
        <v>0</v>
      </c>
      <c r="R21" s="29"/>
      <c r="S21" s="25">
        <f>'S PARMAN'!J21</f>
        <v>0</v>
      </c>
      <c r="T21" s="25">
        <f>'S PARMAN'!K21</f>
        <v>0</v>
      </c>
      <c r="U21" s="25">
        <f t="shared" si="3"/>
        <v>0</v>
      </c>
      <c r="V21" s="29"/>
      <c r="W21" s="25">
        <f>'KALISAT '!J21</f>
        <v>0</v>
      </c>
      <c r="X21" s="25">
        <f>'KALISAT '!K21</f>
        <v>0</v>
      </c>
      <c r="Y21" s="25">
        <f t="shared" si="4"/>
        <v>0</v>
      </c>
      <c r="Z21" s="30"/>
      <c r="AA21" s="25">
        <f>MAYANG!J21</f>
        <v>0</v>
      </c>
      <c r="AB21" s="25">
        <f>MAYANG!K21</f>
        <v>0</v>
      </c>
      <c r="AC21" s="25">
        <f t="shared" si="5"/>
        <v>0</v>
      </c>
      <c r="AD21" s="30"/>
      <c r="AE21" s="25">
        <f>'COLO SUMBERJATI'!J21</f>
        <v>0</v>
      </c>
      <c r="AF21" s="25">
        <f>'COLO SUMBERJATI'!K21</f>
        <v>0</v>
      </c>
      <c r="AG21" s="25">
        <f t="shared" si="6"/>
        <v>0</v>
      </c>
    </row>
    <row r="22" spans="1:33" x14ac:dyDescent="0.25">
      <c r="A22" s="55">
        <v>7</v>
      </c>
      <c r="B22" s="56" t="s">
        <v>32</v>
      </c>
      <c r="C22" s="26" t="s">
        <v>33</v>
      </c>
      <c r="D22" s="6" t="s">
        <v>54</v>
      </c>
      <c r="E22" s="4">
        <f>KONSOL!E22</f>
        <v>2.5</v>
      </c>
      <c r="F22" s="30"/>
      <c r="G22" s="28">
        <f>KONSOL!J22</f>
        <v>1.37</v>
      </c>
      <c r="H22" s="28">
        <f>KONSOL!K22</f>
        <v>1.38</v>
      </c>
      <c r="I22" s="25">
        <f t="shared" si="0"/>
        <v>9.9999999999997868E-3</v>
      </c>
      <c r="J22" s="29"/>
      <c r="K22" s="28">
        <f>TEGALBOTO!J22</f>
        <v>1.58</v>
      </c>
      <c r="L22" s="28">
        <f>TEGALBOTO!K22</f>
        <v>1.6</v>
      </c>
      <c r="M22" s="25">
        <f t="shared" si="1"/>
        <v>2.0000000000000018E-2</v>
      </c>
      <c r="N22" s="29"/>
      <c r="O22" s="28">
        <f>'BASUKI RAHMAD'!J22</f>
        <v>1.1399999999999999</v>
      </c>
      <c r="P22" s="28">
        <f>'BASUKI RAHMAD'!K22</f>
        <v>1.17</v>
      </c>
      <c r="Q22" s="28">
        <f t="shared" si="2"/>
        <v>3.0000000000000027E-2</v>
      </c>
      <c r="R22" s="29"/>
      <c r="S22" s="28">
        <f>'S PARMAN'!J22</f>
        <v>1.38</v>
      </c>
      <c r="T22" s="28">
        <f>'S PARMAN'!K22</f>
        <v>1.34</v>
      </c>
      <c r="U22" s="25">
        <f t="shared" si="3"/>
        <v>-3.9999999999999813E-2</v>
      </c>
      <c r="V22" s="29"/>
      <c r="W22" s="28">
        <f>'KALISAT '!J22</f>
        <v>0.45</v>
      </c>
      <c r="X22" s="28">
        <f>'KALISAT '!K22</f>
        <v>0.45</v>
      </c>
      <c r="Y22" s="28">
        <f t="shared" si="4"/>
        <v>0</v>
      </c>
      <c r="Z22" s="30"/>
      <c r="AA22" s="4">
        <f>MAYANG!J22</f>
        <v>1.1200000000000001</v>
      </c>
      <c r="AB22" s="4">
        <f>MAYANG!K22</f>
        <v>1</v>
      </c>
      <c r="AC22" s="28">
        <f t="shared" si="5"/>
        <v>-0.12000000000000011</v>
      </c>
      <c r="AD22" s="30"/>
      <c r="AE22" s="4">
        <f>'COLO SUMBERJATI'!J22</f>
        <v>0</v>
      </c>
      <c r="AF22" s="4">
        <f>'COLO SUMBERJATI'!K22</f>
        <v>0</v>
      </c>
      <c r="AG22" s="28">
        <f t="shared" si="6"/>
        <v>0</v>
      </c>
    </row>
    <row r="23" spans="1:33" x14ac:dyDescent="0.25">
      <c r="A23" s="55"/>
      <c r="B23" s="56"/>
      <c r="C23" s="5" t="s">
        <v>34</v>
      </c>
      <c r="D23" s="4">
        <v>110</v>
      </c>
      <c r="E23" s="4">
        <f>KONSOL!E23</f>
        <v>2.5</v>
      </c>
      <c r="F23" s="30"/>
      <c r="G23" s="4">
        <f>KONSOL!J23</f>
        <v>2.25</v>
      </c>
      <c r="H23" s="4">
        <f>KONSOL!K23</f>
        <v>2.2599999999999998</v>
      </c>
      <c r="I23" s="4">
        <f t="shared" si="0"/>
        <v>9.9999999999997868E-3</v>
      </c>
      <c r="J23" s="29"/>
      <c r="K23" s="4">
        <f>TEGALBOTO!J23</f>
        <v>2.5099999999999998</v>
      </c>
      <c r="L23" s="4">
        <f>TEGALBOTO!K23</f>
        <v>2.52</v>
      </c>
      <c r="M23" s="4">
        <f t="shared" si="1"/>
        <v>1.0000000000000231E-2</v>
      </c>
      <c r="N23" s="29"/>
      <c r="O23" s="4">
        <f>'BASUKI RAHMAD'!J23</f>
        <v>2.0699999999999998</v>
      </c>
      <c r="P23" s="4">
        <f>'BASUKI RAHMAD'!K23</f>
        <v>2.0699999999999998</v>
      </c>
      <c r="Q23" s="4">
        <f t="shared" si="2"/>
        <v>0</v>
      </c>
      <c r="R23" s="29"/>
      <c r="S23" s="4">
        <f>'S PARMAN'!J23</f>
        <v>1.84</v>
      </c>
      <c r="T23" s="4">
        <f>'S PARMAN'!K23</f>
        <v>1.84</v>
      </c>
      <c r="U23" s="4">
        <f t="shared" si="3"/>
        <v>0</v>
      </c>
      <c r="V23" s="29"/>
      <c r="W23" s="4">
        <f>'KALISAT '!J23</f>
        <v>1.73</v>
      </c>
      <c r="X23" s="4">
        <f>'KALISAT '!K23</f>
        <v>1.75</v>
      </c>
      <c r="Y23" s="4">
        <f t="shared" si="4"/>
        <v>2.0000000000000018E-2</v>
      </c>
      <c r="Z23" s="30"/>
      <c r="AA23" s="4">
        <f>MAYANG!J23</f>
        <v>1.47</v>
      </c>
      <c r="AB23" s="4">
        <f>MAYANG!K23</f>
        <v>1.45</v>
      </c>
      <c r="AC23" s="4">
        <f t="shared" si="5"/>
        <v>-2.0000000000000018E-2</v>
      </c>
      <c r="AD23" s="30"/>
      <c r="AE23" s="4">
        <f>'COLO SUMBERJATI'!J23</f>
        <v>0</v>
      </c>
      <c r="AF23" s="4">
        <f>'COLO SUMBERJATI'!K23</f>
        <v>0</v>
      </c>
      <c r="AG23" s="4">
        <f t="shared" si="6"/>
        <v>0</v>
      </c>
    </row>
    <row r="24" spans="1:33" x14ac:dyDescent="0.25">
      <c r="A24" s="55"/>
      <c r="B24" s="56"/>
      <c r="C24" s="5" t="s">
        <v>35</v>
      </c>
      <c r="D24" s="4">
        <v>110</v>
      </c>
      <c r="E24" s="4">
        <f>KONSOL!E24</f>
        <v>5</v>
      </c>
      <c r="F24" s="30"/>
      <c r="G24" s="4">
        <f>KONSOL!J24</f>
        <v>2.5</v>
      </c>
      <c r="H24" s="4">
        <f>KONSOL!K24</f>
        <v>2.62</v>
      </c>
      <c r="I24" s="4">
        <f t="shared" si="0"/>
        <v>0.12000000000000011</v>
      </c>
      <c r="J24" s="29"/>
      <c r="K24" s="4">
        <f>TEGALBOTO!J24</f>
        <v>4.08</v>
      </c>
      <c r="L24" s="4">
        <f>TEGALBOTO!K24</f>
        <v>4.13</v>
      </c>
      <c r="M24" s="4">
        <f t="shared" si="1"/>
        <v>4.9999999999999822E-2</v>
      </c>
      <c r="N24" s="29"/>
      <c r="O24" s="4">
        <f>'BASUKI RAHMAD'!J24</f>
        <v>2.58</v>
      </c>
      <c r="P24" s="4">
        <f>'BASUKI RAHMAD'!K24</f>
        <v>2.66</v>
      </c>
      <c r="Q24" s="4">
        <f t="shared" si="2"/>
        <v>8.0000000000000071E-2</v>
      </c>
      <c r="R24" s="29"/>
      <c r="S24" s="4">
        <f>'S PARMAN'!J24</f>
        <v>1.18</v>
      </c>
      <c r="T24" s="4">
        <f>'S PARMAN'!K24</f>
        <v>1.75</v>
      </c>
      <c r="U24" s="4">
        <f t="shared" si="3"/>
        <v>0.57000000000000006</v>
      </c>
      <c r="V24" s="29"/>
      <c r="W24" s="4">
        <f>'KALISAT '!J24</f>
        <v>1.95</v>
      </c>
      <c r="X24" s="4">
        <f>'KALISAT '!K24</f>
        <v>1.96</v>
      </c>
      <c r="Y24" s="4">
        <f t="shared" si="4"/>
        <v>1.0000000000000009E-2</v>
      </c>
      <c r="Z24" s="30"/>
      <c r="AA24" s="4">
        <f>MAYANG!J24</f>
        <v>1.48</v>
      </c>
      <c r="AB24" s="4">
        <f>MAYANG!K24</f>
        <v>1.59</v>
      </c>
      <c r="AC24" s="4">
        <f t="shared" si="5"/>
        <v>0.1100000000000001</v>
      </c>
      <c r="AD24" s="30"/>
      <c r="AE24" s="4">
        <f>'COLO SUMBERJATI'!J24</f>
        <v>0.1</v>
      </c>
      <c r="AF24" s="4">
        <f>'COLO SUMBERJATI'!K24</f>
        <v>0.12</v>
      </c>
      <c r="AG24" s="4">
        <f t="shared" si="6"/>
        <v>1.999999999999999E-2</v>
      </c>
    </row>
    <row r="25" spans="1:33" x14ac:dyDescent="0.25">
      <c r="A25" s="55">
        <v>8</v>
      </c>
      <c r="B25" s="56" t="s">
        <v>36</v>
      </c>
      <c r="C25" s="5" t="s">
        <v>37</v>
      </c>
      <c r="D25" s="4">
        <v>110</v>
      </c>
      <c r="E25" s="4">
        <f>KONSOL!E25</f>
        <v>5</v>
      </c>
      <c r="F25" s="30"/>
      <c r="G25" s="4">
        <f>KONSOL!J25</f>
        <v>3.71</v>
      </c>
      <c r="H25" s="4">
        <f>KONSOL!K25</f>
        <v>3.91</v>
      </c>
      <c r="I25" s="4">
        <f t="shared" si="0"/>
        <v>0.20000000000000018</v>
      </c>
      <c r="J25" s="29"/>
      <c r="K25" s="4">
        <f>TEGALBOTO!J25</f>
        <v>4.1900000000000004</v>
      </c>
      <c r="L25" s="4">
        <f>TEGALBOTO!K25</f>
        <v>4.37</v>
      </c>
      <c r="M25" s="4">
        <f t="shared" si="1"/>
        <v>0.17999999999999972</v>
      </c>
      <c r="N25" s="29"/>
      <c r="O25" s="4">
        <f>'BASUKI RAHMAD'!J25</f>
        <v>3.99</v>
      </c>
      <c r="P25" s="4">
        <f>'BASUKI RAHMAD'!K25</f>
        <v>4.17</v>
      </c>
      <c r="Q25" s="4">
        <f t="shared" si="2"/>
        <v>0.17999999999999972</v>
      </c>
      <c r="R25" s="29"/>
      <c r="S25" s="4">
        <f>'S PARMAN'!J25</f>
        <v>3.65</v>
      </c>
      <c r="T25" s="4">
        <f>'S PARMAN'!K25</f>
        <v>3.82</v>
      </c>
      <c r="U25" s="4">
        <f t="shared" si="3"/>
        <v>0.16999999999999993</v>
      </c>
      <c r="V25" s="29"/>
      <c r="W25" s="4">
        <f>'KALISAT '!J25</f>
        <v>4.28</v>
      </c>
      <c r="X25" s="4">
        <f>'KALISAT '!K25</f>
        <v>4.3899999999999997</v>
      </c>
      <c r="Y25" s="4">
        <f t="shared" si="4"/>
        <v>0.10999999999999943</v>
      </c>
      <c r="Z25" s="30"/>
      <c r="AA25" s="4">
        <f>MAYANG!J25</f>
        <v>2.02</v>
      </c>
      <c r="AB25" s="4">
        <f>MAYANG!K25</f>
        <v>2.09</v>
      </c>
      <c r="AC25" s="4">
        <f t="shared" si="5"/>
        <v>6.999999999999984E-2</v>
      </c>
      <c r="AD25" s="30"/>
      <c r="AE25" s="4">
        <f>'COLO SUMBERJATI'!J25</f>
        <v>0.57999999999999996</v>
      </c>
      <c r="AF25" s="4">
        <f>'COLO SUMBERJATI'!K25</f>
        <v>1.4</v>
      </c>
      <c r="AG25" s="4">
        <f t="shared" si="6"/>
        <v>0.82</v>
      </c>
    </row>
    <row r="26" spans="1:33" x14ac:dyDescent="0.25">
      <c r="A26" s="55"/>
      <c r="B26" s="56"/>
      <c r="C26" s="5" t="s">
        <v>38</v>
      </c>
      <c r="D26" s="4">
        <v>110</v>
      </c>
      <c r="E26" s="4">
        <f>KONSOL!E26</f>
        <v>5</v>
      </c>
      <c r="F26" s="30"/>
      <c r="G26" s="4">
        <f>KONSOL!J26</f>
        <v>4.05</v>
      </c>
      <c r="H26" s="4">
        <f>KONSOL!K26</f>
        <v>3.95</v>
      </c>
      <c r="I26" s="4">
        <f t="shared" si="0"/>
        <v>-9.9999999999999645E-2</v>
      </c>
      <c r="J26" s="29"/>
      <c r="K26" s="4">
        <f>TEGALBOTO!J26</f>
        <v>5.5</v>
      </c>
      <c r="L26" s="4">
        <f>TEGALBOTO!K26</f>
        <v>5.5</v>
      </c>
      <c r="M26" s="4">
        <f t="shared" si="1"/>
        <v>0</v>
      </c>
      <c r="N26" s="29"/>
      <c r="O26" s="4">
        <f>'BASUKI RAHMAD'!J26</f>
        <v>4</v>
      </c>
      <c r="P26" s="4">
        <f>'BASUKI RAHMAD'!K26</f>
        <v>3.75</v>
      </c>
      <c r="Q26" s="4">
        <f t="shared" si="2"/>
        <v>-0.25</v>
      </c>
      <c r="R26" s="29"/>
      <c r="S26" s="4">
        <f>'S PARMAN'!J26</f>
        <v>2.7</v>
      </c>
      <c r="T26" s="4">
        <f>'S PARMAN'!K26</f>
        <v>2.84</v>
      </c>
      <c r="U26" s="4">
        <f t="shared" si="3"/>
        <v>0.13999999999999968</v>
      </c>
      <c r="V26" s="29"/>
      <c r="W26" s="4">
        <f>'KALISAT '!J26</f>
        <v>3.36</v>
      </c>
      <c r="X26" s="4">
        <f>'KALISAT '!K26</f>
        <v>3.23</v>
      </c>
      <c r="Y26" s="4">
        <f t="shared" si="4"/>
        <v>-0.12999999999999989</v>
      </c>
      <c r="Z26" s="30"/>
      <c r="AA26" s="4">
        <f>MAYANG!J26</f>
        <v>1.6</v>
      </c>
      <c r="AB26" s="4">
        <f>MAYANG!K26</f>
        <v>1.61</v>
      </c>
      <c r="AC26" s="4">
        <f t="shared" si="5"/>
        <v>1.0000000000000009E-2</v>
      </c>
      <c r="AD26" s="30"/>
      <c r="AE26" s="4">
        <f>'COLO SUMBERJATI'!J26</f>
        <v>0.97</v>
      </c>
      <c r="AF26" s="4">
        <f>'COLO SUMBERJATI'!K26</f>
        <v>1.04</v>
      </c>
      <c r="AG26" s="4">
        <f t="shared" si="6"/>
        <v>7.0000000000000062E-2</v>
      </c>
    </row>
    <row r="27" spans="1:33" x14ac:dyDescent="0.25">
      <c r="A27" s="55"/>
      <c r="B27" s="56"/>
      <c r="C27" s="5" t="s">
        <v>39</v>
      </c>
      <c r="D27" s="4">
        <v>110</v>
      </c>
      <c r="E27" s="4">
        <f>KONSOL!E27</f>
        <v>5</v>
      </c>
      <c r="F27" s="30"/>
      <c r="G27" s="4">
        <f>KONSOL!J27</f>
        <v>1.64</v>
      </c>
      <c r="H27" s="4">
        <f>KONSOL!K27</f>
        <v>1.79</v>
      </c>
      <c r="I27" s="4">
        <f t="shared" si="0"/>
        <v>0.15000000000000013</v>
      </c>
      <c r="J27" s="29"/>
      <c r="K27" s="4">
        <f>TEGALBOTO!J27</f>
        <v>2.2799999999999998</v>
      </c>
      <c r="L27" s="4">
        <f>TEGALBOTO!K27</f>
        <v>2.48</v>
      </c>
      <c r="M27" s="4">
        <f t="shared" si="1"/>
        <v>0.20000000000000018</v>
      </c>
      <c r="N27" s="29"/>
      <c r="O27" s="4">
        <f>'BASUKI RAHMAD'!J27</f>
        <v>1.46</v>
      </c>
      <c r="P27" s="4">
        <f>'BASUKI RAHMAD'!K27</f>
        <v>1.6</v>
      </c>
      <c r="Q27" s="4">
        <f t="shared" si="2"/>
        <v>0.14000000000000012</v>
      </c>
      <c r="R27" s="29"/>
      <c r="S27" s="4">
        <f>'S PARMAN'!J27</f>
        <v>1.26</v>
      </c>
      <c r="T27" s="4">
        <f>'S PARMAN'!K27</f>
        <v>1.38</v>
      </c>
      <c r="U27" s="4">
        <f t="shared" si="3"/>
        <v>0.11999999999999988</v>
      </c>
      <c r="V27" s="29"/>
      <c r="W27" s="4">
        <f>'KALISAT '!J27</f>
        <v>1.75</v>
      </c>
      <c r="X27" s="4">
        <f>'KALISAT '!K27</f>
        <v>1.85</v>
      </c>
      <c r="Y27" s="4">
        <f t="shared" si="4"/>
        <v>0.10000000000000009</v>
      </c>
      <c r="Z27" s="30"/>
      <c r="AA27" s="4">
        <f>MAYANG!J27</f>
        <v>0.92</v>
      </c>
      <c r="AB27" s="4">
        <f>MAYANG!K27</f>
        <v>1</v>
      </c>
      <c r="AC27" s="4">
        <f t="shared" si="5"/>
        <v>7.999999999999996E-2</v>
      </c>
      <c r="AD27" s="30"/>
      <c r="AE27" s="4">
        <f>'COLO SUMBERJATI'!J27</f>
        <v>0.22</v>
      </c>
      <c r="AF27" s="4">
        <f>'COLO SUMBERJATI'!K27</f>
        <v>0.36</v>
      </c>
      <c r="AG27" s="4">
        <f t="shared" si="6"/>
        <v>0.13999999999999999</v>
      </c>
    </row>
    <row r="28" spans="1:33" x14ac:dyDescent="0.25">
      <c r="A28" s="55">
        <v>9</v>
      </c>
      <c r="B28" s="56" t="s">
        <v>40</v>
      </c>
      <c r="C28" s="26" t="s">
        <v>41</v>
      </c>
      <c r="D28" s="4">
        <v>110</v>
      </c>
      <c r="E28" s="4">
        <f>KONSOL!E28</f>
        <v>2</v>
      </c>
      <c r="F28" s="30"/>
      <c r="G28" s="28">
        <f>KONSOL!J28</f>
        <v>1.98</v>
      </c>
      <c r="H28" s="28">
        <f>KONSOL!K28</f>
        <v>1.98</v>
      </c>
      <c r="I28" s="28">
        <f>H28-G28</f>
        <v>0</v>
      </c>
      <c r="J28" s="29"/>
      <c r="K28" s="28">
        <f>TEGALBOTO!J28</f>
        <v>1.83</v>
      </c>
      <c r="L28" s="28">
        <f>TEGALBOTO!K28</f>
        <v>1.83</v>
      </c>
      <c r="M28" s="28">
        <f t="shared" si="1"/>
        <v>0</v>
      </c>
      <c r="N28" s="29"/>
      <c r="O28" s="28">
        <f>'BASUKI RAHMAD'!J28</f>
        <v>1.96</v>
      </c>
      <c r="P28" s="28">
        <f>'BASUKI RAHMAD'!K28</f>
        <v>1.98</v>
      </c>
      <c r="Q28" s="28">
        <f t="shared" si="2"/>
        <v>2.0000000000000018E-2</v>
      </c>
      <c r="R28" s="29"/>
      <c r="S28" s="28">
        <f>'S PARMAN'!J28</f>
        <v>1.89</v>
      </c>
      <c r="T28" s="28">
        <f>'S PARMAN'!K28</f>
        <v>1.86</v>
      </c>
      <c r="U28" s="28">
        <f t="shared" si="3"/>
        <v>-2.9999999999999805E-2</v>
      </c>
      <c r="V28" s="29"/>
      <c r="W28" s="28">
        <f>'KALISAT '!J28</f>
        <v>2.14</v>
      </c>
      <c r="X28" s="28">
        <f>'KALISAT '!K28</f>
        <v>2.15</v>
      </c>
      <c r="Y28" s="28">
        <f t="shared" si="4"/>
        <v>9.9999999999997868E-3</v>
      </c>
      <c r="Z28" s="30"/>
      <c r="AA28" s="4">
        <f>MAYANG!J28</f>
        <v>2.2000000000000002</v>
      </c>
      <c r="AB28" s="4">
        <f>MAYANG!K28</f>
        <v>2.2000000000000002</v>
      </c>
      <c r="AC28" s="28">
        <f t="shared" si="5"/>
        <v>0</v>
      </c>
      <c r="AD28" s="30"/>
      <c r="AE28" s="4">
        <f>'COLO SUMBERJATI'!J28</f>
        <v>2.2000000000000002</v>
      </c>
      <c r="AF28" s="4">
        <f>'COLO SUMBERJATI'!K28</f>
        <v>2.2000000000000002</v>
      </c>
      <c r="AG28" s="28">
        <f t="shared" si="6"/>
        <v>0</v>
      </c>
    </row>
    <row r="29" spans="1:33" x14ac:dyDescent="0.25">
      <c r="A29" s="55"/>
      <c r="B29" s="56"/>
      <c r="C29" s="5" t="s">
        <v>42</v>
      </c>
      <c r="D29" s="4">
        <v>110</v>
      </c>
      <c r="E29" s="4">
        <f>KONSOL!E29</f>
        <v>1.5</v>
      </c>
      <c r="F29" s="30"/>
      <c r="G29" s="4">
        <f>KONSOL!J29</f>
        <v>1.65</v>
      </c>
      <c r="H29" s="4">
        <f>KONSOL!K29</f>
        <v>1.65</v>
      </c>
      <c r="I29" s="4">
        <f t="shared" si="0"/>
        <v>0</v>
      </c>
      <c r="J29" s="29"/>
      <c r="K29" s="4">
        <f>TEGALBOTO!J29</f>
        <v>1.65</v>
      </c>
      <c r="L29" s="4">
        <f>TEGALBOTO!K29</f>
        <v>1.65</v>
      </c>
      <c r="M29" s="4">
        <f t="shared" si="1"/>
        <v>0</v>
      </c>
      <c r="N29" s="29"/>
      <c r="O29" s="4">
        <f>'BASUKI RAHMAD'!J29</f>
        <v>0.18</v>
      </c>
      <c r="P29" s="4">
        <f>'BASUKI RAHMAD'!K29</f>
        <v>0.17</v>
      </c>
      <c r="Q29" s="4">
        <f t="shared" si="2"/>
        <v>-9.9999999999999811E-3</v>
      </c>
      <c r="R29" s="29"/>
      <c r="S29" s="4">
        <f>'S PARMAN'!J29</f>
        <v>1.65</v>
      </c>
      <c r="T29" s="4">
        <f>'S PARMAN'!K29</f>
        <v>1.65</v>
      </c>
      <c r="U29" s="4">
        <f t="shared" si="3"/>
        <v>0</v>
      </c>
      <c r="V29" s="29"/>
      <c r="W29" s="4">
        <f>'KALISAT '!J29</f>
        <v>1.65</v>
      </c>
      <c r="X29" s="4">
        <f>'KALISAT '!K29</f>
        <v>1.65</v>
      </c>
      <c r="Y29" s="4">
        <f t="shared" si="4"/>
        <v>0</v>
      </c>
      <c r="Z29" s="30"/>
      <c r="AA29" s="4">
        <f>MAYANG!J29</f>
        <v>1.65</v>
      </c>
      <c r="AB29" s="4">
        <f>MAYANG!K29</f>
        <v>1.65</v>
      </c>
      <c r="AC29" s="4">
        <f t="shared" si="5"/>
        <v>0</v>
      </c>
      <c r="AD29" s="30"/>
      <c r="AE29" s="4">
        <f>'COLO SUMBERJATI'!J29</f>
        <v>1.22</v>
      </c>
      <c r="AF29" s="4">
        <f>'COLO SUMBERJATI'!K29</f>
        <v>1.21</v>
      </c>
      <c r="AG29" s="4">
        <f t="shared" si="6"/>
        <v>-1.0000000000000009E-2</v>
      </c>
    </row>
    <row r="30" spans="1:33" x14ac:dyDescent="0.25">
      <c r="A30" s="55"/>
      <c r="B30" s="56"/>
      <c r="C30" s="5" t="s">
        <v>43</v>
      </c>
      <c r="D30" s="4">
        <v>110</v>
      </c>
      <c r="E30" s="4">
        <f>KONSOL!E30</f>
        <v>1.5</v>
      </c>
      <c r="F30" s="30"/>
      <c r="G30" s="4">
        <f>KONSOL!J30</f>
        <v>0.81</v>
      </c>
      <c r="H30" s="4">
        <f>KONSOL!K30</f>
        <v>0.83</v>
      </c>
      <c r="I30" s="4">
        <f t="shared" si="0"/>
        <v>1.9999999999999907E-2</v>
      </c>
      <c r="J30" s="29"/>
      <c r="K30" s="4">
        <f>TEGALBOTO!J30</f>
        <v>0.83</v>
      </c>
      <c r="L30" s="4">
        <f>TEGALBOTO!K30</f>
        <v>0.85</v>
      </c>
      <c r="M30" s="4">
        <f t="shared" si="1"/>
        <v>2.0000000000000018E-2</v>
      </c>
      <c r="N30" s="29"/>
      <c r="O30" s="4">
        <f>'BASUKI RAHMAD'!J30</f>
        <v>0.42</v>
      </c>
      <c r="P30" s="4">
        <f>'BASUKI RAHMAD'!K30</f>
        <v>0.42</v>
      </c>
      <c r="Q30" s="4">
        <f t="shared" si="2"/>
        <v>0</v>
      </c>
      <c r="R30" s="29"/>
      <c r="S30" s="4">
        <f>'S PARMAN'!J30</f>
        <v>0.31</v>
      </c>
      <c r="T30" s="4">
        <f>'S PARMAN'!K30</f>
        <v>0.31</v>
      </c>
      <c r="U30" s="4">
        <f t="shared" si="3"/>
        <v>0</v>
      </c>
      <c r="V30" s="29"/>
      <c r="W30" s="4">
        <f>'KALISAT '!J30</f>
        <v>1.29</v>
      </c>
      <c r="X30" s="4">
        <f>'KALISAT '!K30</f>
        <v>1.3</v>
      </c>
      <c r="Y30" s="4">
        <f t="shared" si="4"/>
        <v>1.0000000000000009E-2</v>
      </c>
      <c r="Z30" s="30"/>
      <c r="AA30" s="4">
        <f>MAYANG!J30</f>
        <v>0.9</v>
      </c>
      <c r="AB30" s="4">
        <f>MAYANG!K30</f>
        <v>0.94</v>
      </c>
      <c r="AC30" s="4">
        <f t="shared" si="5"/>
        <v>3.9999999999999925E-2</v>
      </c>
      <c r="AD30" s="30"/>
      <c r="AE30" s="4">
        <f>'COLO SUMBERJATI'!J30</f>
        <v>0.94</v>
      </c>
      <c r="AF30" s="4">
        <f>'COLO SUMBERJATI'!K30</f>
        <v>0.94</v>
      </c>
      <c r="AG30" s="4">
        <f t="shared" si="6"/>
        <v>0</v>
      </c>
    </row>
    <row r="31" spans="1:33" x14ac:dyDescent="0.25">
      <c r="A31" s="4">
        <v>10</v>
      </c>
      <c r="B31" s="5" t="s">
        <v>44</v>
      </c>
      <c r="C31" s="5" t="s">
        <v>44</v>
      </c>
      <c r="D31" s="4"/>
      <c r="E31" s="4"/>
      <c r="F31" s="30"/>
      <c r="G31" s="4">
        <f>KONSOL!J31</f>
        <v>0</v>
      </c>
      <c r="H31" s="4">
        <f>KONSOL!K31</f>
        <v>0</v>
      </c>
      <c r="I31" s="4">
        <f t="shared" si="0"/>
        <v>0</v>
      </c>
      <c r="J31" s="29"/>
      <c r="K31" s="4">
        <f>TEGALBOTO!J31</f>
        <v>0</v>
      </c>
      <c r="L31" s="4">
        <f>TEGALBOTO!K31</f>
        <v>0</v>
      </c>
      <c r="M31" s="4">
        <f t="shared" si="1"/>
        <v>0</v>
      </c>
      <c r="N31" s="29"/>
      <c r="O31" s="4">
        <f>'BASUKI RAHMAD'!J31</f>
        <v>0</v>
      </c>
      <c r="P31" s="4">
        <f>'BASUKI RAHMAD'!K31</f>
        <v>0</v>
      </c>
      <c r="Q31" s="4">
        <f t="shared" si="2"/>
        <v>0</v>
      </c>
      <c r="R31" s="29"/>
      <c r="S31" s="4">
        <f>'S PARMAN'!J31</f>
        <v>0</v>
      </c>
      <c r="T31" s="4">
        <f>'S PARMAN'!K31</f>
        <v>0</v>
      </c>
      <c r="U31" s="4">
        <f t="shared" si="3"/>
        <v>0</v>
      </c>
      <c r="V31" s="29"/>
      <c r="W31" s="4">
        <f>'KALISAT '!J31</f>
        <v>0</v>
      </c>
      <c r="X31" s="4">
        <f>'KALISAT '!K31</f>
        <v>0</v>
      </c>
      <c r="Y31" s="4">
        <f t="shared" si="4"/>
        <v>0</v>
      </c>
      <c r="Z31" s="30"/>
      <c r="AA31" s="4">
        <f>MAYANG!J31</f>
        <v>0</v>
      </c>
      <c r="AB31" s="4">
        <f>MAYANG!K31</f>
        <v>0</v>
      </c>
      <c r="AC31" s="4">
        <f t="shared" si="5"/>
        <v>0</v>
      </c>
      <c r="AD31" s="30"/>
      <c r="AE31" s="4">
        <f>'COLO SUMBERJATI'!J31</f>
        <v>0</v>
      </c>
      <c r="AF31" s="4">
        <f>'COLO SUMBERJATI'!K31</f>
        <v>0</v>
      </c>
      <c r="AG31" s="4">
        <f t="shared" si="6"/>
        <v>0</v>
      </c>
    </row>
    <row r="32" spans="1:33" x14ac:dyDescent="0.25">
      <c r="A32" s="58" t="s">
        <v>53</v>
      </c>
      <c r="B32" s="58"/>
      <c r="C32" s="8"/>
      <c r="D32" s="7"/>
      <c r="E32" s="7">
        <f>SUM(E5:E31)</f>
        <v>100</v>
      </c>
      <c r="F32" s="30"/>
      <c r="G32" s="7">
        <f>SUM(G5:G31)</f>
        <v>80.5</v>
      </c>
      <c r="H32" s="7">
        <f>SUM(H5:H31)</f>
        <v>83.080000000000013</v>
      </c>
      <c r="I32" s="7">
        <f>SUM(I5:I31)</f>
        <v>2.5800000000000023</v>
      </c>
      <c r="J32" s="29"/>
      <c r="K32" s="7">
        <f>SUM(K5:K31)</f>
        <v>91.52</v>
      </c>
      <c r="L32" s="7">
        <f>SUM(L5:L31)</f>
        <v>91.54</v>
      </c>
      <c r="M32" s="7">
        <f>SUM(M5:M31)</f>
        <v>1.999999999999913E-2</v>
      </c>
      <c r="N32" s="29"/>
      <c r="O32" s="7">
        <f>SUM(O5:O31)</f>
        <v>78.289999999999992</v>
      </c>
      <c r="P32" s="7">
        <f>SUM(P5:P31)</f>
        <v>79.25</v>
      </c>
      <c r="Q32" s="7">
        <f>SUM(Q5:Q31)</f>
        <v>0.96000000000000019</v>
      </c>
      <c r="R32" s="29"/>
      <c r="S32" s="7">
        <f>SUM(S5:S31)</f>
        <v>76.890000000000029</v>
      </c>
      <c r="T32" s="7">
        <f>SUM(T5:T31)</f>
        <v>77.360000000000014</v>
      </c>
      <c r="U32" s="7">
        <f>SUM(U5:U31)</f>
        <v>0.46999999999999975</v>
      </c>
      <c r="V32" s="29"/>
      <c r="W32" s="7">
        <f>SUM(W5:W31)</f>
        <v>76.570000000000007</v>
      </c>
      <c r="X32" s="7">
        <f>SUM(X5:X31)</f>
        <v>78.84</v>
      </c>
      <c r="Y32" s="7">
        <f>SUM(Y5:Y31)</f>
        <v>2.2699999999999996</v>
      </c>
      <c r="Z32" s="30"/>
      <c r="AA32" s="7">
        <f>SUM(AA5:AA31)</f>
        <v>70.239999999999995</v>
      </c>
      <c r="AB32" s="7">
        <f>SUM(AB5:AB31)</f>
        <v>70.280000000000015</v>
      </c>
      <c r="AC32" s="7">
        <f>SUM(AC5:AC31)</f>
        <v>4.000000000000159E-2</v>
      </c>
      <c r="AD32" s="30"/>
      <c r="AE32" s="7">
        <f>SUM(AE5:AE31)</f>
        <v>39.33</v>
      </c>
      <c r="AF32" s="7">
        <f>SUM(AF5:AF31)</f>
        <v>40.380000000000003</v>
      </c>
      <c r="AG32" s="7">
        <f>SUM(AG5:AG31)</f>
        <v>1.0499999999999994</v>
      </c>
    </row>
  </sheetData>
  <sheetProtection sheet="1" objects="1" scenarios="1"/>
  <mergeCells count="27">
    <mergeCell ref="AA3:AC3"/>
    <mergeCell ref="AE3:AG3"/>
    <mergeCell ref="A1:AG1"/>
    <mergeCell ref="A2:AG2"/>
    <mergeCell ref="A32:B32"/>
    <mergeCell ref="G3:I3"/>
    <mergeCell ref="K3:M3"/>
    <mergeCell ref="O3:Q3"/>
    <mergeCell ref="S3:U3"/>
    <mergeCell ref="W3:Y3"/>
    <mergeCell ref="A3:A4"/>
    <mergeCell ref="B3:B4"/>
    <mergeCell ref="C3:C4"/>
    <mergeCell ref="D3:D4"/>
    <mergeCell ref="E3:E4"/>
    <mergeCell ref="A22:A24"/>
    <mergeCell ref="B22:B24"/>
    <mergeCell ref="A25:A27"/>
    <mergeCell ref="B25:B27"/>
    <mergeCell ref="A28:A30"/>
    <mergeCell ref="B28:B30"/>
    <mergeCell ref="A5:A8"/>
    <mergeCell ref="B5:B8"/>
    <mergeCell ref="A11:A14"/>
    <mergeCell ref="B11:B14"/>
    <mergeCell ref="A15:A20"/>
    <mergeCell ref="B15:B20"/>
  </mergeCells>
  <conditionalFormatting sqref="I5:I31">
    <cfRule type="cellIs" dxfId="6" priority="9" operator="greaterThan">
      <formula>0</formula>
    </cfRule>
  </conditionalFormatting>
  <conditionalFormatting sqref="I5:I32 M5:M32 Q5:Q32 U5:U32 Y5:Y32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AC5:AC32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AG5:AG32">
    <cfRule type="cellIs" dxfId="1" priority="1" operator="lessThan">
      <formula>0</formula>
    </cfRule>
    <cfRule type="cellIs" dxfId="0" priority="2" operator="greaterThan">
      <formula>0</formula>
    </cfRule>
  </conditionalFormatting>
  <pageMargins left="0.23622047244094491" right="7.874015748031496E-2" top="0.74803149606299213" bottom="0.74803149606299213" header="0.31496062992125984" footer="0.31496062992125984"/>
  <pageSetup paperSize="5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INPUT</vt:lpstr>
      <vt:lpstr>KONSOL</vt:lpstr>
      <vt:lpstr>TEGALBOTO</vt:lpstr>
      <vt:lpstr>BASUKI RAHMAD</vt:lpstr>
      <vt:lpstr>S PARMAN</vt:lpstr>
      <vt:lpstr>KALISAT </vt:lpstr>
      <vt:lpstr>MAYANG</vt:lpstr>
      <vt:lpstr>COLO SUMBERJATI</vt:lpstr>
      <vt:lpstr>REKAP</vt:lpstr>
      <vt:lpstr>'BASUKI RAHMAD'!Print_Area</vt:lpstr>
      <vt:lpstr>'COLO SUMBERJATI'!Print_Area</vt:lpstr>
      <vt:lpstr>'KALISAT '!Print_Area</vt:lpstr>
      <vt:lpstr>KONSOL!Print_Area</vt:lpstr>
      <vt:lpstr>MAYANG!Print_Area</vt:lpstr>
      <vt:lpstr>REKAP!Print_Area</vt:lpstr>
      <vt:lpstr>'S PARMAN'!Print_Area</vt:lpstr>
      <vt:lpstr>TEGALBOTO!Print_Area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Sheet 1</dc:title>
  <dc:subject/>
  <dc:creator>Unknown Creator</dc:creator>
  <cp:keywords/>
  <dc:description/>
  <cp:lastModifiedBy>Poj 2023</cp:lastModifiedBy>
  <cp:lastPrinted>2026-06-06T02:16:55Z</cp:lastPrinted>
  <dcterms:created xsi:type="dcterms:W3CDTF">2026-03-27T02:45:58Z</dcterms:created>
  <dcterms:modified xsi:type="dcterms:W3CDTF">2026-06-06T02:18:08Z</dcterms:modified>
  <cp:category/>
</cp:coreProperties>
</file>